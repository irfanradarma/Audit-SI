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0" documentId="8_{19B80176-72F4-4D44-9BF5-11FBEE5AAF31}" xr6:coauthVersionLast="47" xr6:coauthVersionMax="47" xr10:uidLastSave="{00000000-0000-0000-0000-000000000000}"/>
  <bookViews>
    <workbookView xWindow="-98" yWindow="-98" windowWidth="19396" windowHeight="11475" activeTab="1" xr2:uid="{BB5D335C-04CC-4BA7-9CA4-853D50C6FB73}"/>
  </bookViews>
  <sheets>
    <sheet name="INVENTORY" sheetId="1" r:id="rId1"/>
    <sheet name="PURCHASE" sheetId="2" r:id="rId2"/>
  </sheets>
  <definedNames>
    <definedName name="_xlnm._FilterDatabase" localSheetId="1" hidden="1">PURCHASE!$A$2:$F$50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3" i="2"/>
  <c r="F3" i="1"/>
  <c r="G3" i="1"/>
  <c r="H3" i="1"/>
  <c r="I3" i="1"/>
  <c r="J3" i="1"/>
  <c r="K3" i="1"/>
  <c r="L3" i="1"/>
  <c r="M3" i="1"/>
  <c r="N3" i="1"/>
  <c r="O3" i="1"/>
  <c r="P3" i="1"/>
  <c r="Q3" i="1"/>
  <c r="F4" i="1"/>
  <c r="G4" i="1"/>
  <c r="H4" i="1"/>
  <c r="I4" i="1"/>
  <c r="J4" i="1"/>
  <c r="K4" i="1"/>
  <c r="L4" i="1"/>
  <c r="M4" i="1"/>
  <c r="N4" i="1"/>
  <c r="O4" i="1"/>
  <c r="P4" i="1"/>
  <c r="Q4" i="1"/>
  <c r="F5" i="1"/>
  <c r="G5" i="1"/>
  <c r="H5" i="1"/>
  <c r="I5" i="1"/>
  <c r="J5" i="1"/>
  <c r="K5" i="1"/>
  <c r="L5" i="1"/>
  <c r="M5" i="1"/>
  <c r="N5" i="1"/>
  <c r="O5" i="1"/>
  <c r="P5" i="1"/>
  <c r="Q5" i="1"/>
  <c r="F6" i="1"/>
  <c r="G6" i="1"/>
  <c r="H6" i="1"/>
  <c r="I6" i="1"/>
  <c r="J6" i="1"/>
  <c r="K6" i="1"/>
  <c r="L6" i="1"/>
  <c r="M6" i="1"/>
  <c r="N6" i="1"/>
  <c r="O6" i="1"/>
  <c r="P6" i="1"/>
  <c r="Q6" i="1"/>
  <c r="F7" i="1"/>
  <c r="G7" i="1"/>
  <c r="H7" i="1"/>
  <c r="I7" i="1"/>
  <c r="J7" i="1"/>
  <c r="K7" i="1"/>
  <c r="L7" i="1"/>
  <c r="M7" i="1"/>
  <c r="N7" i="1"/>
  <c r="O7" i="1"/>
  <c r="P7" i="1"/>
  <c r="Q7" i="1"/>
  <c r="F8" i="1"/>
  <c r="G8" i="1"/>
  <c r="H8" i="1"/>
  <c r="I8" i="1"/>
  <c r="J8" i="1"/>
  <c r="K8" i="1"/>
  <c r="L8" i="1"/>
  <c r="M8" i="1"/>
  <c r="N8" i="1"/>
  <c r="O8" i="1"/>
  <c r="P8" i="1"/>
  <c r="Q8" i="1"/>
  <c r="F9" i="1"/>
  <c r="G9" i="1"/>
  <c r="H9" i="1"/>
  <c r="I9" i="1"/>
  <c r="J9" i="1"/>
  <c r="K9" i="1"/>
  <c r="L9" i="1"/>
  <c r="M9" i="1"/>
  <c r="N9" i="1"/>
  <c r="O9" i="1"/>
  <c r="P9" i="1"/>
  <c r="Q9" i="1"/>
  <c r="F10" i="1"/>
  <c r="G10" i="1"/>
  <c r="H10" i="1"/>
  <c r="I10" i="1"/>
  <c r="J10" i="1"/>
  <c r="K10" i="1"/>
  <c r="L10" i="1"/>
  <c r="M10" i="1"/>
  <c r="N10" i="1"/>
  <c r="O10" i="1"/>
  <c r="P10" i="1"/>
  <c r="Q10" i="1"/>
  <c r="F11" i="1"/>
  <c r="G11" i="1"/>
  <c r="H11" i="1"/>
  <c r="I11" i="1"/>
  <c r="J11" i="1"/>
  <c r="K11" i="1"/>
  <c r="L11" i="1"/>
  <c r="M11" i="1"/>
  <c r="N11" i="1"/>
  <c r="O11" i="1"/>
  <c r="P11" i="1"/>
  <c r="Q11" i="1"/>
  <c r="F12" i="1"/>
  <c r="G12" i="1"/>
  <c r="H12" i="1"/>
  <c r="I12" i="1"/>
  <c r="J12" i="1"/>
  <c r="K12" i="1"/>
  <c r="L12" i="1"/>
  <c r="M12" i="1"/>
  <c r="N12" i="1"/>
  <c r="O12" i="1"/>
  <c r="P12" i="1"/>
  <c r="Q12" i="1"/>
  <c r="F13" i="1"/>
  <c r="G13" i="1"/>
  <c r="H13" i="1"/>
  <c r="I13" i="1"/>
  <c r="J13" i="1"/>
  <c r="K13" i="1"/>
  <c r="L13" i="1"/>
  <c r="M13" i="1"/>
  <c r="N13" i="1"/>
  <c r="O13" i="1"/>
  <c r="P13" i="1"/>
  <c r="Q13" i="1"/>
  <c r="F14" i="1"/>
  <c r="G14" i="1"/>
  <c r="H14" i="1"/>
  <c r="I14" i="1"/>
  <c r="J14" i="1"/>
  <c r="K14" i="1"/>
  <c r="L14" i="1"/>
  <c r="M14" i="1"/>
  <c r="N14" i="1"/>
  <c r="O14" i="1"/>
  <c r="P14" i="1"/>
  <c r="Q14" i="1"/>
  <c r="G2" i="1"/>
  <c r="H2" i="1"/>
  <c r="I2" i="1"/>
  <c r="J2" i="1"/>
  <c r="K2" i="1"/>
  <c r="L2" i="1"/>
  <c r="M2" i="1"/>
  <c r="N2" i="1"/>
  <c r="O2" i="1"/>
  <c r="P2" i="1"/>
  <c r="Q2" i="1"/>
  <c r="F2" i="1"/>
  <c r="D3" i="1" a="1"/>
  <c r="D13" i="1" a="1"/>
  <c r="D14" i="1" a="1"/>
  <c r="D5" i="1" a="1"/>
  <c r="D6" i="1" a="1"/>
  <c r="D7" i="1" a="1"/>
  <c r="D9" i="1" a="1"/>
  <c r="D10" i="1" a="1"/>
  <c r="D12" i="1" a="1"/>
  <c r="D4" i="1" a="1"/>
  <c r="D8" i="1" a="1"/>
  <c r="D11" i="1" a="1"/>
  <c r="D2" i="1" a="1"/>
  <c r="D11" i="1" l="1"/>
  <c r="D8" i="1"/>
  <c r="D4" i="1"/>
  <c r="D12" i="1"/>
  <c r="D10" i="1"/>
  <c r="D9" i="1"/>
  <c r="D7" i="1"/>
  <c r="D6" i="1"/>
  <c r="D5" i="1"/>
  <c r="D14" i="1"/>
  <c r="D13" i="1"/>
  <c r="D3" i="1"/>
  <c r="D2" i="1"/>
  <c r="E14" i="1"/>
  <c r="E9" i="1"/>
  <c r="E12" i="1"/>
  <c r="E5" i="1"/>
  <c r="E11" i="1"/>
  <c r="E10" i="1"/>
  <c r="E13" i="1"/>
  <c r="E6" i="1"/>
  <c r="E4" i="1"/>
  <c r="E8" i="1"/>
  <c r="E3" i="1"/>
  <c r="E7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<sst xmlns="http://schemas.openxmlformats.org/spreadsheetml/2006/main" count="141" uniqueCount="89">
  <si>
    <t>ISBN</t>
  </si>
  <si>
    <t>Tafsir Al-Quran Juz Amma</t>
  </si>
  <si>
    <t>Buku Saku Pramuka Lengkap</t>
  </si>
  <si>
    <t>Strategi Catur untuk Pemula</t>
  </si>
  <si>
    <t>Berani Tidak Disukai</t>
  </si>
  <si>
    <t>Manajemen Konflik dalam Organisasi</t>
  </si>
  <si>
    <t>COBIT 2019: A Framework Overview</t>
  </si>
  <si>
    <t>Novel: Cantik Itu Luka</t>
  </si>
  <si>
    <t>Sukses Beternak Ayam Kampung</t>
  </si>
  <si>
    <t>Panduan Wisata Kuliner Jogja</t>
  </si>
  <si>
    <t>Komik: Attack on Titan Vol. final</t>
  </si>
  <si>
    <t>Logika dan Algoritma Dasar</t>
  </si>
  <si>
    <t>The Lean Startup</t>
  </si>
  <si>
    <t>Seni Berbicara Kepada Siapa Saja</t>
  </si>
  <si>
    <t>0644057805786</t>
  </si>
  <si>
    <t>0633015501556</t>
  </si>
  <si>
    <t>0730075107512</t>
  </si>
  <si>
    <t>0691000100016</t>
  </si>
  <si>
    <t>0818047804785</t>
  </si>
  <si>
    <t>0059030803088</t>
  </si>
  <si>
    <t>0025009700977</t>
  </si>
  <si>
    <t>0417077107716</t>
  </si>
  <si>
    <t>0031062606262</t>
  </si>
  <si>
    <t>0704075507555</t>
  </si>
  <si>
    <t>0509056805682</t>
  </si>
  <si>
    <t>0039008000806</t>
  </si>
  <si>
    <t>0328052805287</t>
  </si>
  <si>
    <t>Date</t>
  </si>
  <si>
    <t>Doc</t>
  </si>
  <si>
    <t>Qty</t>
  </si>
  <si>
    <t>Amount</t>
  </si>
  <si>
    <t>P-00001</t>
  </si>
  <si>
    <t>P-00002</t>
  </si>
  <si>
    <t>P-00003</t>
  </si>
  <si>
    <t>P-00004</t>
  </si>
  <si>
    <t>P-00005</t>
  </si>
  <si>
    <t>P-00006</t>
  </si>
  <si>
    <t>P-00007</t>
  </si>
  <si>
    <t>P-00008</t>
  </si>
  <si>
    <t>P-00009</t>
  </si>
  <si>
    <t>P-00010</t>
  </si>
  <si>
    <t>P-00011</t>
  </si>
  <si>
    <t>P-00012</t>
  </si>
  <si>
    <t>P-00013</t>
  </si>
  <si>
    <t>P-00014</t>
  </si>
  <si>
    <t>P-00015</t>
  </si>
  <si>
    <t>P-00016</t>
  </si>
  <si>
    <t>P-00017</t>
  </si>
  <si>
    <t>P-00018</t>
  </si>
  <si>
    <t>P-00019</t>
  </si>
  <si>
    <t>P-00020</t>
  </si>
  <si>
    <t>P-00021</t>
  </si>
  <si>
    <t>P-00022</t>
  </si>
  <si>
    <t>P-00023</t>
  </si>
  <si>
    <t>P-00025</t>
  </si>
  <si>
    <t>P-00026</t>
  </si>
  <si>
    <t>P-00027</t>
  </si>
  <si>
    <t>P-00028</t>
  </si>
  <si>
    <t>P-00029</t>
  </si>
  <si>
    <t>P-00030</t>
  </si>
  <si>
    <t>P-00031</t>
  </si>
  <si>
    <t>P-00032</t>
  </si>
  <si>
    <t>P-00033</t>
  </si>
  <si>
    <t>P-00034</t>
  </si>
  <si>
    <t>P-00035</t>
  </si>
  <si>
    <t>P-00036</t>
  </si>
  <si>
    <t>P-00037</t>
  </si>
  <si>
    <t>P-00038</t>
  </si>
  <si>
    <t>P-00039</t>
  </si>
  <si>
    <t>P-00040</t>
  </si>
  <si>
    <t>P-00041</t>
  </si>
  <si>
    <t>P-00042</t>
  </si>
  <si>
    <t>P-00043</t>
  </si>
  <si>
    <t>P-00044</t>
  </si>
  <si>
    <t>P-00046</t>
  </si>
  <si>
    <t>P-00047</t>
  </si>
  <si>
    <t>P-00048</t>
  </si>
  <si>
    <t>Price</t>
  </si>
  <si>
    <t>Title</t>
  </si>
  <si>
    <t>Sarah</t>
  </si>
  <si>
    <t>Irfan</t>
  </si>
  <si>
    <t>missing data</t>
  </si>
  <si>
    <t>format</t>
  </si>
  <si>
    <t>18/02/2021</t>
  </si>
  <si>
    <t>LIMIT 5</t>
  </si>
  <si>
    <t>VALIDITY</t>
  </si>
  <si>
    <t>SEQUENCE</t>
  </si>
  <si>
    <t>DUPLIKASI</t>
  </si>
  <si>
    <t>AKURASI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</si>
</sst>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quotePrefix="1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E34E-AF71-4669-A4D5-DFB78BFB7491}">
  <dimension ref="A1:Q17"/>
  <sheetViews>
    <sheetView zoomScale="115" zoomScaleNormal="115" workbookViewId="0">
      <selection activeCell="C13" sqref="C13"/>
    </sheetView>
  </sheetViews>
  <sheetFormatPr defaultRowHeight="14.5" x14ac:dyDescent="0.35"/>
  <cols>
    <col min="1" max="1" width="13.90625" bestFit="1" customWidth="1"/>
    <col min="2" max="2" width="32.08984375" bestFit="1" customWidth="1"/>
    <col min="5" max="5" width="4.81640625" bestFit="1" customWidth="1"/>
    <col min="6" max="6" width="1.81640625" bestFit="1" customWidth="1"/>
    <col min="7" max="7" width="2.81640625" bestFit="1" customWidth="1"/>
    <col min="8" max="8" width="1.81640625" bestFit="1" customWidth="1"/>
    <col min="9" max="9" width="2.81640625" bestFit="1" customWidth="1"/>
    <col min="10" max="10" width="1.81640625" bestFit="1" customWidth="1"/>
    <col min="11" max="11" width="2.81640625" bestFit="1" customWidth="1"/>
    <col min="12" max="12" width="1.81640625" bestFit="1" customWidth="1"/>
    <col min="13" max="13" width="2.81640625" bestFit="1" customWidth="1"/>
    <col min="14" max="14" width="1.81640625" bestFit="1" customWidth="1"/>
    <col min="15" max="17" width="2.81640625" bestFit="1" customWidth="1"/>
  </cols>
  <sheetData>
    <row r="1" spans="1:17" x14ac:dyDescent="0.35">
      <c r="A1" t="s">
        <v>0</v>
      </c>
      <c r="B1" t="s">
        <v>78</v>
      </c>
      <c r="C1" t="s">
        <v>77</v>
      </c>
      <c r="D1" t="s">
        <v>79</v>
      </c>
      <c r="E1" t="s">
        <v>80</v>
      </c>
    </row>
    <row r="2" spans="1:17" x14ac:dyDescent="0.35">
      <c r="A2" t="s">
        <v>14</v>
      </c>
      <c r="B2" t="s">
        <v>1</v>
      </c>
      <c r="C2">
        <v>100000</v>
      </c>
      <c r="D2" t="str" cm="1">
        <f t="array" aca="1" ref="D2" ca="1">IF(MOD(SUMPRODUCT(MID(A2,ROW(INDIRECT("1:12")),1)*IF(MOD(ROW(INDIRECT("1:12")),2)=1,1,3)),10)=0, IF(RIGHT(A2,1)="0","Valid","Invalid"), IF(10-MOD(SUMPRODUCT(MID(A2,ROW(INDIRECT("1:12")),1)*IF(MOD(ROW(INDIRECT("1:12")),2)=1,1,3)),10)=VALUE(RIGHT(A2,1)),"Valid","Invalid"))</f>
        <v>Invalid</v>
      </c>
      <c r="E2">
        <f>MOD(SUM(F2:Q2),10)</f>
        <v>6</v>
      </c>
      <c r="F2">
        <f>MID($A2,F$16,1)*F$17</f>
        <v>0</v>
      </c>
      <c r="G2">
        <f t="shared" ref="G2:Q14" si="0">MID($A2,G$16,1)*G$17</f>
        <v>18</v>
      </c>
      <c r="H2">
        <f t="shared" si="0"/>
        <v>4</v>
      </c>
      <c r="I2">
        <f t="shared" si="0"/>
        <v>12</v>
      </c>
      <c r="J2">
        <f t="shared" si="0"/>
        <v>0</v>
      </c>
      <c r="K2">
        <f t="shared" si="0"/>
        <v>15</v>
      </c>
      <c r="L2">
        <f t="shared" si="0"/>
        <v>7</v>
      </c>
      <c r="M2">
        <f t="shared" si="0"/>
        <v>24</v>
      </c>
      <c r="N2">
        <f t="shared" si="0"/>
        <v>0</v>
      </c>
      <c r="O2">
        <f t="shared" si="0"/>
        <v>15</v>
      </c>
      <c r="P2">
        <f t="shared" si="0"/>
        <v>7</v>
      </c>
      <c r="Q2">
        <f t="shared" si="0"/>
        <v>24</v>
      </c>
    </row>
    <row r="3" spans="1:17" x14ac:dyDescent="0.35">
      <c r="A3" t="s">
        <v>15</v>
      </c>
      <c r="B3" t="s">
        <v>2</v>
      </c>
      <c r="C3">
        <v>120000</v>
      </c>
      <c r="D3" t="str" cm="1">
        <f t="array" aca="1" ref="D3" ca="1">IF(MOD(SUMPRODUCT(MID(A3,ROW(INDIRECT("1:12")),1)*IF(MOD(ROW(INDIRECT("1:12")),2)=1,1,3)),10)=0, IF(RIGHT(A3,1)="0","Valid","Invalid"), IF(10-MOD(SUMPRODUCT(MID(A3,ROW(INDIRECT("1:12")),1)*IF(MOD(ROW(INDIRECT("1:12")),2)=1,1,3)),10)=VALUE(RIGHT(A3,1)),"Valid","Invalid"))</f>
        <v>Invalid</v>
      </c>
      <c r="E3">
        <f>MOD(SUM(F3:Q3),10)</f>
        <v>6</v>
      </c>
      <c r="F3">
        <f t="shared" ref="F3:F14" si="1">MID($A3,F$16,1)*F$17</f>
        <v>0</v>
      </c>
      <c r="G3">
        <f t="shared" si="0"/>
        <v>18</v>
      </c>
      <c r="H3">
        <f t="shared" si="0"/>
        <v>3</v>
      </c>
      <c r="I3">
        <f t="shared" si="0"/>
        <v>9</v>
      </c>
      <c r="J3">
        <f t="shared" si="0"/>
        <v>0</v>
      </c>
      <c r="K3">
        <f t="shared" si="0"/>
        <v>3</v>
      </c>
      <c r="L3">
        <f t="shared" si="0"/>
        <v>5</v>
      </c>
      <c r="M3">
        <f t="shared" si="0"/>
        <v>15</v>
      </c>
      <c r="N3">
        <f t="shared" si="0"/>
        <v>0</v>
      </c>
      <c r="O3">
        <f t="shared" si="0"/>
        <v>3</v>
      </c>
      <c r="P3">
        <f t="shared" si="0"/>
        <v>5</v>
      </c>
      <c r="Q3">
        <f t="shared" si="0"/>
        <v>15</v>
      </c>
    </row>
    <row r="4" spans="1:17" x14ac:dyDescent="0.35">
      <c r="A4" t="s">
        <v>16</v>
      </c>
      <c r="B4" t="s">
        <v>3</v>
      </c>
      <c r="C4">
        <v>60000</v>
      </c>
      <c r="D4" t="str" cm="1">
        <f t="array" aca="1" ref="D4" ca="1">IF(MOD(SUMPRODUCT(MID(A4,ROW(INDIRECT("1:12")),1)*IF(MOD(ROW(INDIRECT("1:12")),2)=1,1,3)),10)=0, IF(RIGHT(A4,1)="0","Valid","Invalid"), IF(10-MOD(SUMPRODUCT(MID(A4,ROW(INDIRECT("1:12")),1)*IF(MOD(ROW(INDIRECT("1:12")),2)=1,1,3)),10)=VALUE(RIGHT(A4,1)),"Valid","Invalid"))</f>
        <v>Invalid</v>
      </c>
      <c r="E4">
        <f>MOD(SUM(F4:Q4),10)</f>
        <v>2</v>
      </c>
      <c r="F4">
        <f t="shared" si="1"/>
        <v>0</v>
      </c>
      <c r="G4">
        <f t="shared" si="0"/>
        <v>21</v>
      </c>
      <c r="H4">
        <f t="shared" si="0"/>
        <v>3</v>
      </c>
      <c r="I4">
        <f t="shared" si="0"/>
        <v>0</v>
      </c>
      <c r="J4">
        <f t="shared" si="0"/>
        <v>0</v>
      </c>
      <c r="K4">
        <f t="shared" si="0"/>
        <v>21</v>
      </c>
      <c r="L4">
        <f t="shared" si="0"/>
        <v>5</v>
      </c>
      <c r="M4">
        <f t="shared" si="0"/>
        <v>3</v>
      </c>
      <c r="N4">
        <f t="shared" si="0"/>
        <v>0</v>
      </c>
      <c r="O4">
        <f t="shared" si="0"/>
        <v>21</v>
      </c>
      <c r="P4">
        <f t="shared" si="0"/>
        <v>5</v>
      </c>
      <c r="Q4">
        <f t="shared" si="0"/>
        <v>3</v>
      </c>
    </row>
    <row r="5" spans="1:17" x14ac:dyDescent="0.35">
      <c r="A5" t="s">
        <v>17</v>
      </c>
      <c r="B5" t="s">
        <v>4</v>
      </c>
      <c r="C5">
        <v>30000</v>
      </c>
      <c r="D5" t="str" cm="1">
        <f t="array" aca="1" ref="D5" ca="1">IF(MOD(SUMPRODUCT(MID(A5,ROW(INDIRECT("1:12")),1)*IF(MOD(ROW(INDIRECT("1:12")),2)=1,1,3)),10)=0, IF(RIGHT(A5,1)="0","Valid","Invalid"), IF(10-MOD(SUMPRODUCT(MID(A5,ROW(INDIRECT("1:12")),1)*IF(MOD(ROW(INDIRECT("1:12")),2)=1,1,3)),10)=VALUE(RIGHT(A5,1)),"Valid","Invalid"))</f>
        <v>Invalid</v>
      </c>
      <c r="E5">
        <f>MOD(SUM(F5:Q5),10)</f>
        <v>6</v>
      </c>
      <c r="F5">
        <f t="shared" si="1"/>
        <v>0</v>
      </c>
      <c r="G5">
        <f t="shared" si="0"/>
        <v>18</v>
      </c>
      <c r="H5">
        <f t="shared" si="0"/>
        <v>9</v>
      </c>
      <c r="I5">
        <f t="shared" si="0"/>
        <v>3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3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3</v>
      </c>
    </row>
    <row r="6" spans="1:17" x14ac:dyDescent="0.35">
      <c r="A6" t="s">
        <v>18</v>
      </c>
      <c r="B6" t="s">
        <v>5</v>
      </c>
      <c r="C6">
        <v>110000</v>
      </c>
      <c r="D6" t="str" cm="1">
        <f t="array" aca="1" ref="D6" ca="1">IF(MOD(SUMPRODUCT(MID(A6,ROW(INDIRECT("1:12")),1)*IF(MOD(ROW(INDIRECT("1:12")),2)=1,1,3)),10)=0, IF(RIGHT(A6,1)="0","Valid","Invalid"), IF(10-MOD(SUMPRODUCT(MID(A6,ROW(INDIRECT("1:12")),1)*IF(MOD(ROW(INDIRECT("1:12")),2)=1,1,3)),10)=VALUE(RIGHT(A6,1)),"Valid","Invalid"))</f>
        <v>Valid</v>
      </c>
      <c r="E6">
        <f>MOD(SUM(F6:Q6),10)</f>
        <v>5</v>
      </c>
      <c r="F6">
        <f t="shared" si="1"/>
        <v>0</v>
      </c>
      <c r="G6">
        <f t="shared" si="0"/>
        <v>24</v>
      </c>
      <c r="H6">
        <f t="shared" si="0"/>
        <v>1</v>
      </c>
      <c r="I6">
        <f t="shared" si="0"/>
        <v>24</v>
      </c>
      <c r="J6">
        <f t="shared" si="0"/>
        <v>0</v>
      </c>
      <c r="K6">
        <f t="shared" si="0"/>
        <v>12</v>
      </c>
      <c r="L6">
        <f t="shared" si="0"/>
        <v>7</v>
      </c>
      <c r="M6">
        <f t="shared" si="0"/>
        <v>24</v>
      </c>
      <c r="N6">
        <f t="shared" si="0"/>
        <v>0</v>
      </c>
      <c r="O6">
        <f t="shared" si="0"/>
        <v>12</v>
      </c>
      <c r="P6">
        <f t="shared" si="0"/>
        <v>7</v>
      </c>
      <c r="Q6">
        <f t="shared" si="0"/>
        <v>24</v>
      </c>
    </row>
    <row r="7" spans="1:17" x14ac:dyDescent="0.35">
      <c r="A7" t="s">
        <v>19</v>
      </c>
      <c r="B7" t="s">
        <v>6</v>
      </c>
      <c r="C7">
        <v>90000</v>
      </c>
      <c r="D7" t="str" cm="1">
        <f t="array" aca="1" ref="D7" ca="1">IF(MOD(SUMPRODUCT(MID(A7,ROW(INDIRECT("1:12")),1)*IF(MOD(ROW(INDIRECT("1:12")),2)=1,1,3)),10)=0, IF(RIGHT(A7,1)="0","Valid","Invalid"), IF(10-MOD(SUMPRODUCT(MID(A7,ROW(INDIRECT("1:12")),1)*IF(MOD(ROW(INDIRECT("1:12")),2)=1,1,3)),10)=VALUE(RIGHT(A7,1)),"Valid","Invalid"))</f>
        <v>Invalid</v>
      </c>
      <c r="E7">
        <f>MOD(SUM(F7:Q7),10)</f>
        <v>8</v>
      </c>
      <c r="F7">
        <f t="shared" si="1"/>
        <v>0</v>
      </c>
      <c r="G7">
        <f t="shared" si="0"/>
        <v>0</v>
      </c>
      <c r="H7">
        <f t="shared" si="0"/>
        <v>5</v>
      </c>
      <c r="I7">
        <f t="shared" si="0"/>
        <v>27</v>
      </c>
      <c r="J7">
        <f t="shared" si="0"/>
        <v>0</v>
      </c>
      <c r="K7">
        <f t="shared" si="0"/>
        <v>9</v>
      </c>
      <c r="L7">
        <f t="shared" si="0"/>
        <v>0</v>
      </c>
      <c r="M7">
        <f t="shared" si="0"/>
        <v>24</v>
      </c>
      <c r="N7">
        <f t="shared" si="0"/>
        <v>0</v>
      </c>
      <c r="O7">
        <f t="shared" si="0"/>
        <v>9</v>
      </c>
      <c r="P7">
        <f t="shared" si="0"/>
        <v>0</v>
      </c>
      <c r="Q7">
        <f t="shared" si="0"/>
        <v>24</v>
      </c>
    </row>
    <row r="8" spans="1:17" x14ac:dyDescent="0.35">
      <c r="A8" t="s">
        <v>20</v>
      </c>
      <c r="B8" t="s">
        <v>7</v>
      </c>
      <c r="C8">
        <v>100000</v>
      </c>
      <c r="D8" t="str" cm="1">
        <f t="array" aca="1" ref="D8" ca="1">IF(MOD(SUMPRODUCT(MID(A8,ROW(INDIRECT("1:12")),1)*IF(MOD(ROW(INDIRECT("1:12")),2)=1,1,3)),10)=0, IF(RIGHT(A8,1)="0","Valid","Invalid"), IF(10-MOD(SUMPRODUCT(MID(A8,ROW(INDIRECT("1:12")),1)*IF(MOD(ROW(INDIRECT("1:12")),2)=1,1,3)),10)=VALUE(RIGHT(A8,1)),"Valid","Invalid"))</f>
        <v>Invalid</v>
      </c>
      <c r="E8">
        <f>MOD(SUM(F8:Q8),10)</f>
        <v>7</v>
      </c>
      <c r="F8">
        <f t="shared" si="1"/>
        <v>0</v>
      </c>
      <c r="G8">
        <f t="shared" si="0"/>
        <v>0</v>
      </c>
      <c r="H8">
        <f t="shared" si="0"/>
        <v>2</v>
      </c>
      <c r="I8">
        <f t="shared" si="0"/>
        <v>15</v>
      </c>
      <c r="J8">
        <f t="shared" si="0"/>
        <v>0</v>
      </c>
      <c r="K8">
        <f t="shared" si="0"/>
        <v>0</v>
      </c>
      <c r="L8">
        <f t="shared" si="0"/>
        <v>9</v>
      </c>
      <c r="M8">
        <f t="shared" si="0"/>
        <v>21</v>
      </c>
      <c r="N8">
        <f t="shared" si="0"/>
        <v>0</v>
      </c>
      <c r="O8">
        <f t="shared" si="0"/>
        <v>0</v>
      </c>
      <c r="P8">
        <f t="shared" si="0"/>
        <v>9</v>
      </c>
      <c r="Q8">
        <f t="shared" si="0"/>
        <v>21</v>
      </c>
    </row>
    <row r="9" spans="1:17" x14ac:dyDescent="0.35">
      <c r="A9" t="s">
        <v>21</v>
      </c>
      <c r="B9" t="s">
        <v>8</v>
      </c>
      <c r="C9">
        <v>40000</v>
      </c>
      <c r="D9" t="str" cm="1">
        <f t="array" aca="1" ref="D9" ca="1">IF(MOD(SUMPRODUCT(MID(A9,ROW(INDIRECT("1:12")),1)*IF(MOD(ROW(INDIRECT("1:12")),2)=1,1,3)),10)=0, IF(RIGHT(A9,1)="0","Valid","Invalid"), IF(10-MOD(SUMPRODUCT(MID(A9,ROW(INDIRECT("1:12")),1)*IF(MOD(ROW(INDIRECT("1:12")),2)=1,1,3)),10)=VALUE(RIGHT(A9,1)),"Valid","Invalid"))</f>
        <v>Invalid</v>
      </c>
      <c r="E9">
        <f>MOD(SUM(F9:Q9),10)</f>
        <v>6</v>
      </c>
      <c r="F9">
        <f t="shared" si="1"/>
        <v>0</v>
      </c>
      <c r="G9">
        <f t="shared" si="0"/>
        <v>12</v>
      </c>
      <c r="H9">
        <f t="shared" si="0"/>
        <v>1</v>
      </c>
      <c r="I9">
        <f t="shared" si="0"/>
        <v>21</v>
      </c>
      <c r="J9">
        <f t="shared" si="0"/>
        <v>0</v>
      </c>
      <c r="K9">
        <f t="shared" si="0"/>
        <v>21</v>
      </c>
      <c r="L9">
        <f t="shared" si="0"/>
        <v>7</v>
      </c>
      <c r="M9">
        <f t="shared" si="0"/>
        <v>3</v>
      </c>
      <c r="N9">
        <f t="shared" si="0"/>
        <v>0</v>
      </c>
      <c r="O9">
        <f t="shared" si="0"/>
        <v>21</v>
      </c>
      <c r="P9">
        <f t="shared" si="0"/>
        <v>7</v>
      </c>
      <c r="Q9">
        <f t="shared" si="0"/>
        <v>3</v>
      </c>
    </row>
    <row r="10" spans="1:17" x14ac:dyDescent="0.35">
      <c r="A10" t="s">
        <v>22</v>
      </c>
      <c r="B10" t="s">
        <v>9</v>
      </c>
      <c r="C10">
        <v>80000</v>
      </c>
      <c r="D10" t="str" cm="1">
        <f t="array" aca="1" ref="D10" ca="1">IF(MOD(SUMPRODUCT(MID(A10,ROW(INDIRECT("1:12")),1)*IF(MOD(ROW(INDIRECT("1:12")),2)=1,1,3)),10)=0, IF(RIGHT(A10,1)="0","Valid","Invalid"), IF(10-MOD(SUMPRODUCT(MID(A10,ROW(INDIRECT("1:12")),1)*IF(MOD(ROW(INDIRECT("1:12")),2)=1,1,3)),10)=VALUE(RIGHT(A10,1)),"Valid","Invalid"))</f>
        <v>Invalid</v>
      </c>
      <c r="E10">
        <f>MOD(SUM(F10:Q10),10)</f>
        <v>2</v>
      </c>
      <c r="F10">
        <f t="shared" si="1"/>
        <v>0</v>
      </c>
      <c r="G10">
        <f t="shared" si="0"/>
        <v>0</v>
      </c>
      <c r="H10">
        <f t="shared" si="0"/>
        <v>3</v>
      </c>
      <c r="I10">
        <f t="shared" si="0"/>
        <v>3</v>
      </c>
      <c r="J10">
        <f t="shared" si="0"/>
        <v>0</v>
      </c>
      <c r="K10">
        <f t="shared" si="0"/>
        <v>18</v>
      </c>
      <c r="L10">
        <f t="shared" si="0"/>
        <v>2</v>
      </c>
      <c r="M10">
        <f t="shared" si="0"/>
        <v>18</v>
      </c>
      <c r="N10">
        <f t="shared" si="0"/>
        <v>0</v>
      </c>
      <c r="O10">
        <f t="shared" si="0"/>
        <v>18</v>
      </c>
      <c r="P10">
        <f t="shared" si="0"/>
        <v>2</v>
      </c>
      <c r="Q10">
        <f t="shared" si="0"/>
        <v>18</v>
      </c>
    </row>
    <row r="11" spans="1:17" x14ac:dyDescent="0.35">
      <c r="A11" t="s">
        <v>23</v>
      </c>
      <c r="B11" t="s">
        <v>10</v>
      </c>
      <c r="C11">
        <v>150000</v>
      </c>
      <c r="D11" t="str" cm="1">
        <f t="array" aca="1" ref="D11" ca="1">IF(MOD(SUMPRODUCT(MID(A11,ROW(INDIRECT("1:12")),1)*IF(MOD(ROW(INDIRECT("1:12")),2)=1,1,3)),10)=0, IF(RIGHT(A11,1)="0","Valid","Invalid"), IF(10-MOD(SUMPRODUCT(MID(A11,ROW(INDIRECT("1:12")),1)*IF(MOD(ROW(INDIRECT("1:12")),2)=1,1,3)),10)=VALUE(RIGHT(A11,1)),"Valid","Invalid"))</f>
        <v>Valid</v>
      </c>
      <c r="E11">
        <f>MOD(SUM(F11:Q11),10)</f>
        <v>5</v>
      </c>
      <c r="F11">
        <f t="shared" si="1"/>
        <v>0</v>
      </c>
      <c r="G11">
        <f t="shared" si="0"/>
        <v>21</v>
      </c>
      <c r="H11">
        <f t="shared" si="0"/>
        <v>0</v>
      </c>
      <c r="I11">
        <f t="shared" si="0"/>
        <v>12</v>
      </c>
      <c r="J11">
        <f t="shared" si="0"/>
        <v>0</v>
      </c>
      <c r="K11">
        <f t="shared" si="0"/>
        <v>21</v>
      </c>
      <c r="L11">
        <f t="shared" si="0"/>
        <v>5</v>
      </c>
      <c r="M11">
        <f t="shared" si="0"/>
        <v>15</v>
      </c>
      <c r="N11">
        <f t="shared" si="0"/>
        <v>0</v>
      </c>
      <c r="O11">
        <f t="shared" si="0"/>
        <v>21</v>
      </c>
      <c r="P11">
        <f t="shared" si="0"/>
        <v>5</v>
      </c>
      <c r="Q11">
        <f t="shared" si="0"/>
        <v>15</v>
      </c>
    </row>
    <row r="12" spans="1:17" x14ac:dyDescent="0.35">
      <c r="A12" t="s">
        <v>24</v>
      </c>
      <c r="B12" t="s">
        <v>11</v>
      </c>
      <c r="C12">
        <v>150000</v>
      </c>
      <c r="D12" t="str" cm="1">
        <f t="array" aca="1" ref="D12" ca="1">IF(MOD(SUMPRODUCT(MID(A12,ROW(INDIRECT("1:12")),1)*IF(MOD(ROW(INDIRECT("1:12")),2)=1,1,3)),10)=0, IF(RIGHT(A12,1)="0","Valid","Invalid"), IF(10-MOD(SUMPRODUCT(MID(A12,ROW(INDIRECT("1:12")),1)*IF(MOD(ROW(INDIRECT("1:12")),2)=1,1,3)),10)=VALUE(RIGHT(A12,1)),"Valid","Invalid"))</f>
        <v>Invalid</v>
      </c>
      <c r="E12">
        <f>MOD(SUM(F12:Q12),10)</f>
        <v>2</v>
      </c>
      <c r="F12">
        <f t="shared" si="1"/>
        <v>0</v>
      </c>
      <c r="G12">
        <f t="shared" si="0"/>
        <v>15</v>
      </c>
      <c r="H12">
        <f t="shared" si="0"/>
        <v>0</v>
      </c>
      <c r="I12">
        <f t="shared" si="0"/>
        <v>27</v>
      </c>
      <c r="J12">
        <f t="shared" si="0"/>
        <v>0</v>
      </c>
      <c r="K12">
        <f t="shared" si="0"/>
        <v>15</v>
      </c>
      <c r="L12">
        <f t="shared" si="0"/>
        <v>6</v>
      </c>
      <c r="M12">
        <f t="shared" si="0"/>
        <v>24</v>
      </c>
      <c r="N12">
        <f t="shared" si="0"/>
        <v>0</v>
      </c>
      <c r="O12">
        <f t="shared" si="0"/>
        <v>15</v>
      </c>
      <c r="P12">
        <f t="shared" si="0"/>
        <v>6</v>
      </c>
      <c r="Q12">
        <f t="shared" si="0"/>
        <v>24</v>
      </c>
    </row>
    <row r="13" spans="1:17" x14ac:dyDescent="0.35">
      <c r="A13" t="s">
        <v>25</v>
      </c>
      <c r="B13" t="s">
        <v>12</v>
      </c>
      <c r="C13">
        <v>50000</v>
      </c>
      <c r="D13" t="str" cm="1">
        <f t="array" aca="1" ref="D13" ca="1">IF(MOD(SUMPRODUCT(MID(A13,ROW(INDIRECT("1:12")),1)*IF(MOD(ROW(INDIRECT("1:12")),2)=1,1,3)),10)=0, IF(RIGHT(A13,1)="0","Valid","Invalid"), IF(10-MOD(SUMPRODUCT(MID(A13,ROW(INDIRECT("1:12")),1)*IF(MOD(ROW(INDIRECT("1:12")),2)=1,1,3)),10)=VALUE(RIGHT(A13,1)),"Valid","Invalid"))</f>
        <v>Invalid</v>
      </c>
      <c r="E13">
        <f>MOD(SUM(F13:Q13),10)</f>
        <v>6</v>
      </c>
      <c r="F13">
        <f t="shared" si="1"/>
        <v>0</v>
      </c>
      <c r="G13">
        <f t="shared" si="0"/>
        <v>0</v>
      </c>
      <c r="H13">
        <f t="shared" si="0"/>
        <v>3</v>
      </c>
      <c r="I13">
        <f t="shared" si="0"/>
        <v>27</v>
      </c>
      <c r="J13">
        <f t="shared" si="0"/>
        <v>0</v>
      </c>
      <c r="K13">
        <f t="shared" si="0"/>
        <v>0</v>
      </c>
      <c r="L13">
        <f t="shared" si="0"/>
        <v>8</v>
      </c>
      <c r="M13">
        <f t="shared" si="0"/>
        <v>0</v>
      </c>
      <c r="N13">
        <f t="shared" si="0"/>
        <v>0</v>
      </c>
      <c r="O13">
        <f t="shared" si="0"/>
        <v>0</v>
      </c>
      <c r="P13">
        <f t="shared" si="0"/>
        <v>8</v>
      </c>
      <c r="Q13">
        <f t="shared" si="0"/>
        <v>0</v>
      </c>
    </row>
    <row r="14" spans="1:17" x14ac:dyDescent="0.35">
      <c r="A14" t="s">
        <v>26</v>
      </c>
      <c r="B14" t="s">
        <v>13</v>
      </c>
      <c r="C14">
        <v>30000</v>
      </c>
      <c r="D14" t="str" cm="1">
        <f t="array" aca="1" ref="D14" ca="1">IF(MOD(SUMPRODUCT(MID(A14,ROW(INDIRECT("1:12")),1)*IF(MOD(ROW(INDIRECT("1:12")),2)=1,1,3)),10)=0, IF(RIGHT(A14,1)="0","Valid","Invalid"), IF(10-MOD(SUMPRODUCT(MID(A14,ROW(INDIRECT("1:12")),1)*IF(MOD(ROW(INDIRECT("1:12")),2)=1,1,3)),10)=VALUE(RIGHT(A14,1)),"Valid","Invalid"))</f>
        <v>Invalid</v>
      </c>
      <c r="E14">
        <f>MOD(SUM(F14:Q14),10)</f>
        <v>7</v>
      </c>
      <c r="F14">
        <f t="shared" si="1"/>
        <v>0</v>
      </c>
      <c r="G14">
        <f t="shared" si="0"/>
        <v>9</v>
      </c>
      <c r="H14">
        <f t="shared" si="0"/>
        <v>2</v>
      </c>
      <c r="I14">
        <f t="shared" si="0"/>
        <v>24</v>
      </c>
      <c r="J14">
        <f t="shared" si="0"/>
        <v>0</v>
      </c>
      <c r="K14">
        <f t="shared" si="0"/>
        <v>15</v>
      </c>
      <c r="L14">
        <f t="shared" si="0"/>
        <v>2</v>
      </c>
      <c r="M14">
        <f t="shared" si="0"/>
        <v>24</v>
      </c>
      <c r="N14">
        <f t="shared" si="0"/>
        <v>0</v>
      </c>
      <c r="O14">
        <f t="shared" si="0"/>
        <v>15</v>
      </c>
      <c r="P14">
        <f t="shared" si="0"/>
        <v>2</v>
      </c>
      <c r="Q14">
        <f t="shared" si="0"/>
        <v>24</v>
      </c>
    </row>
    <row r="16" spans="1:17" x14ac:dyDescent="0.35">
      <c r="F16">
        <v>1</v>
      </c>
      <c r="G16">
        <v>2</v>
      </c>
      <c r="H16">
        <v>3</v>
      </c>
      <c r="I16">
        <v>4</v>
      </c>
      <c r="J16">
        <v>5</v>
      </c>
      <c r="K16">
        <v>6</v>
      </c>
      <c r="L16">
        <v>7</v>
      </c>
      <c r="M16">
        <v>8</v>
      </c>
      <c r="N16">
        <v>9</v>
      </c>
      <c r="O16">
        <v>10</v>
      </c>
      <c r="P16">
        <v>11</v>
      </c>
      <c r="Q16">
        <v>12</v>
      </c>
    </row>
    <row r="17" spans="6:17" x14ac:dyDescent="0.35">
      <c r="F17">
        <v>1</v>
      </c>
      <c r="G17">
        <v>3</v>
      </c>
      <c r="H17">
        <v>1</v>
      </c>
      <c r="I17">
        <v>3</v>
      </c>
      <c r="J17">
        <v>1</v>
      </c>
      <c r="K17">
        <v>3</v>
      </c>
      <c r="L17">
        <v>1</v>
      </c>
      <c r="M17">
        <v>3</v>
      </c>
      <c r="N17">
        <v>1</v>
      </c>
      <c r="O17">
        <v>3</v>
      </c>
      <c r="P17">
        <v>1</v>
      </c>
      <c r="Q17">
        <v>3</v>
      </c>
    </row>
  </sheetData>
  <pageMargins left="0.7" right="0.7" top="0.75" bottom="0.75" header="0.3" footer="0.3"/>
  <ignoredErrors>
    <ignoredError sqref="A2:A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4B64-655B-4669-A069-9DD2BE29342D}">
  <dimension ref="A1:M50"/>
  <sheetViews>
    <sheetView tabSelected="1" topLeftCell="A28" workbookViewId="0">
      <selection activeCell="M3" sqref="M3"/>
    </sheetView>
  </sheetViews>
  <sheetFormatPr defaultRowHeight="14.5" x14ac:dyDescent="0.35"/>
  <cols>
    <col min="1" max="1" width="10.90625" customWidth="1"/>
    <col min="3" max="3" width="13.90625" bestFit="1" customWidth="1"/>
    <col min="6" max="6" width="14.1796875" bestFit="1" customWidth="1"/>
    <col min="10" max="10" width="14.1796875" bestFit="1" customWidth="1"/>
    <col min="11" max="11" width="9.7265625" bestFit="1" customWidth="1"/>
    <col min="12" max="12" width="9.36328125" bestFit="1" customWidth="1"/>
  </cols>
  <sheetData>
    <row r="1" spans="1:13" x14ac:dyDescent="0.35">
      <c r="G1" s="3" t="s">
        <v>82</v>
      </c>
      <c r="H1" s="3"/>
    </row>
    <row r="2" spans="1:13" x14ac:dyDescent="0.35">
      <c r="A2" t="s">
        <v>27</v>
      </c>
      <c r="B2" t="s">
        <v>28</v>
      </c>
      <c r="C2" t="s">
        <v>0</v>
      </c>
      <c r="D2" t="s">
        <v>29</v>
      </c>
      <c r="E2" t="s">
        <v>30</v>
      </c>
      <c r="F2" t="s">
        <v>81</v>
      </c>
      <c r="G2" t="s">
        <v>27</v>
      </c>
      <c r="H2" t="s">
        <v>28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</row>
    <row r="3" spans="1:13" x14ac:dyDescent="0.35">
      <c r="A3" s="1">
        <v>44197</v>
      </c>
      <c r="B3" t="s">
        <v>31</v>
      </c>
      <c r="C3" t="s">
        <v>14</v>
      </c>
      <c r="D3">
        <v>2</v>
      </c>
      <c r="E3">
        <v>200000</v>
      </c>
      <c r="F3" t="b">
        <f>ISBLANK(B3)</f>
        <v>0</v>
      </c>
      <c r="G3" t="b">
        <f>ISNUMBER(A3)</f>
        <v>1</v>
      </c>
      <c r="H3" t="b">
        <f>ISTEXT(B3)</f>
        <v>1</v>
      </c>
      <c r="I3" t="b">
        <f>D3&lt;=5</f>
        <v>1</v>
      </c>
      <c r="J3" t="str">
        <f>_xlfn.XLOOKUP(C3,INVENTORY!A:A,INVENTORY!A:A,FALSE)</f>
        <v>0644057805786</v>
      </c>
      <c r="K3" t="b">
        <v>1</v>
      </c>
      <c r="L3" s="4" t="b">
        <f>COUNTIF($B$3:$B$50,B3)=1</f>
        <v>1</v>
      </c>
      <c r="M3" t="b">
        <f>_xlfn.XLOOKUP(C3,INVENTORY!A:A,INVENTORY!C:C)*PURCHASE!D3=PURCHASE!E3</f>
        <v>1</v>
      </c>
    </row>
    <row r="4" spans="1:13" x14ac:dyDescent="0.35">
      <c r="A4" s="1">
        <v>44200</v>
      </c>
      <c r="B4" t="s">
        <v>32</v>
      </c>
      <c r="C4" t="s">
        <v>23</v>
      </c>
      <c r="D4">
        <v>1</v>
      </c>
      <c r="E4">
        <v>150000</v>
      </c>
      <c r="F4" t="b">
        <f t="shared" ref="F4:F50" si="0">ISBLANK(B4)</f>
        <v>0</v>
      </c>
      <c r="G4" t="b">
        <f t="shared" ref="G4:G50" si="1">ISNUMBER(A4)</f>
        <v>1</v>
      </c>
      <c r="H4" t="b">
        <f t="shared" ref="H4:H50" si="2">ISTEXT(B4)</f>
        <v>1</v>
      </c>
      <c r="I4" t="b">
        <f t="shared" ref="I4:I50" si="3">D4&lt;=5</f>
        <v>1</v>
      </c>
      <c r="J4" t="str">
        <f>_xlfn.XLOOKUP(C4,INVENTORY!A:A,INVENTORY!A:A,FALSE)</f>
        <v>0704075507555</v>
      </c>
      <c r="K4" t="b">
        <f>IFERROR(VALUE(RIGHT(B4,5))-VALUE(RIGHT(B3,5))=1,FALSE)</f>
        <v>1</v>
      </c>
      <c r="L4" s="4" t="b">
        <f t="shared" ref="L4:L50" si="4">COUNTIF($B$3:$B$50,B4)=1</f>
        <v>1</v>
      </c>
      <c r="M4" t="b">
        <f>_xlfn.XLOOKUP(C4,INVENTORY!A:A,INVENTORY!C:C)*PURCHASE!D4=PURCHASE!E4</f>
        <v>1</v>
      </c>
    </row>
    <row r="5" spans="1:13" x14ac:dyDescent="0.35">
      <c r="A5" s="1">
        <v>44203</v>
      </c>
      <c r="B5" t="s">
        <v>33</v>
      </c>
      <c r="C5" t="s">
        <v>18</v>
      </c>
      <c r="D5">
        <v>3</v>
      </c>
      <c r="E5">
        <v>330000</v>
      </c>
      <c r="F5" t="b">
        <f t="shared" si="0"/>
        <v>0</v>
      </c>
      <c r="G5" t="b">
        <f t="shared" si="1"/>
        <v>1</v>
      </c>
      <c r="H5" t="b">
        <f t="shared" si="2"/>
        <v>1</v>
      </c>
      <c r="I5" t="b">
        <f t="shared" si="3"/>
        <v>1</v>
      </c>
      <c r="J5" t="str">
        <f>_xlfn.XLOOKUP(C5,INVENTORY!A:A,INVENTORY!A:A,FALSE)</f>
        <v>0818047804785</v>
      </c>
      <c r="K5" t="b">
        <f t="shared" ref="K5:K50" si="5">IFERROR(VALUE(RIGHT(B5,5))-VALUE(RIGHT(B4,5))=1,FALSE)</f>
        <v>1</v>
      </c>
      <c r="L5" s="4" t="b">
        <f t="shared" si="4"/>
        <v>1</v>
      </c>
      <c r="M5" t="b">
        <f>_xlfn.XLOOKUP(C5,INVENTORY!A:A,INVENTORY!C:C)*PURCHASE!D5=PURCHASE!E5</f>
        <v>1</v>
      </c>
    </row>
    <row r="6" spans="1:13" x14ac:dyDescent="0.35">
      <c r="A6" s="1">
        <v>44205</v>
      </c>
      <c r="B6" t="s">
        <v>34</v>
      </c>
      <c r="C6" t="s">
        <v>16</v>
      </c>
      <c r="D6">
        <v>3</v>
      </c>
      <c r="E6">
        <v>180000</v>
      </c>
      <c r="F6" t="b">
        <f t="shared" si="0"/>
        <v>0</v>
      </c>
      <c r="G6" t="b">
        <f t="shared" si="1"/>
        <v>1</v>
      </c>
      <c r="H6" t="b">
        <f t="shared" si="2"/>
        <v>1</v>
      </c>
      <c r="I6" t="b">
        <f t="shared" si="3"/>
        <v>1</v>
      </c>
      <c r="J6" t="str">
        <f>_xlfn.XLOOKUP(C6,INVENTORY!A:A,INVENTORY!A:A,FALSE)</f>
        <v>0730075107512</v>
      </c>
      <c r="K6" t="b">
        <f t="shared" si="5"/>
        <v>1</v>
      </c>
      <c r="L6" s="4" t="b">
        <f t="shared" si="4"/>
        <v>1</v>
      </c>
      <c r="M6" t="b">
        <f>_xlfn.XLOOKUP(C6,INVENTORY!A:A,INVENTORY!C:C)*PURCHASE!D6=PURCHASE!E6</f>
        <v>1</v>
      </c>
    </row>
    <row r="7" spans="1:13" x14ac:dyDescent="0.35">
      <c r="A7" s="1">
        <v>44206</v>
      </c>
      <c r="B7" t="s">
        <v>35</v>
      </c>
      <c r="C7" t="s">
        <v>15</v>
      </c>
      <c r="D7">
        <v>1</v>
      </c>
      <c r="E7">
        <v>120000</v>
      </c>
      <c r="F7" t="b">
        <f t="shared" si="0"/>
        <v>0</v>
      </c>
      <c r="G7" t="b">
        <f t="shared" si="1"/>
        <v>1</v>
      </c>
      <c r="H7" t="b">
        <f t="shared" si="2"/>
        <v>1</v>
      </c>
      <c r="I7" t="b">
        <f t="shared" si="3"/>
        <v>1</v>
      </c>
      <c r="J7" t="str">
        <f>_xlfn.XLOOKUP(C7,INVENTORY!A:A,INVENTORY!A:A,FALSE)</f>
        <v>0633015501556</v>
      </c>
      <c r="K7" t="b">
        <f t="shared" si="5"/>
        <v>1</v>
      </c>
      <c r="L7" s="4" t="b">
        <f t="shared" si="4"/>
        <v>1</v>
      </c>
      <c r="M7" t="b">
        <f>_xlfn.XLOOKUP(C7,INVENTORY!A:A,INVENTORY!C:C)*PURCHASE!D7=PURCHASE!E7</f>
        <v>1</v>
      </c>
    </row>
    <row r="8" spans="1:13" x14ac:dyDescent="0.35">
      <c r="A8" s="1">
        <v>44209</v>
      </c>
      <c r="B8" t="s">
        <v>36</v>
      </c>
      <c r="C8" t="s">
        <v>19</v>
      </c>
      <c r="D8">
        <v>1</v>
      </c>
      <c r="E8">
        <v>90000</v>
      </c>
      <c r="F8" t="b">
        <f t="shared" si="0"/>
        <v>0</v>
      </c>
      <c r="G8" t="b">
        <f t="shared" si="1"/>
        <v>1</v>
      </c>
      <c r="H8" t="b">
        <f t="shared" si="2"/>
        <v>1</v>
      </c>
      <c r="I8" t="b">
        <f t="shared" si="3"/>
        <v>1</v>
      </c>
      <c r="J8" t="str">
        <f>_xlfn.XLOOKUP(C8,INVENTORY!A:A,INVENTORY!A:A,FALSE)</f>
        <v>0059030803088</v>
      </c>
      <c r="K8" t="b">
        <f t="shared" si="5"/>
        <v>1</v>
      </c>
      <c r="L8" s="4" t="b">
        <f t="shared" si="4"/>
        <v>1</v>
      </c>
      <c r="M8" t="b">
        <f>_xlfn.XLOOKUP(C8,INVENTORY!A:A,INVENTORY!C:C)*PURCHASE!D8=PURCHASE!E8</f>
        <v>1</v>
      </c>
    </row>
    <row r="9" spans="1:13" x14ac:dyDescent="0.35">
      <c r="A9" s="1">
        <v>44211</v>
      </c>
      <c r="B9" t="s">
        <v>37</v>
      </c>
      <c r="C9" t="s">
        <v>26</v>
      </c>
      <c r="D9">
        <v>3</v>
      </c>
      <c r="E9">
        <v>90000</v>
      </c>
      <c r="F9" t="b">
        <f t="shared" si="0"/>
        <v>0</v>
      </c>
      <c r="G9" t="b">
        <f t="shared" si="1"/>
        <v>1</v>
      </c>
      <c r="H9" t="b">
        <f t="shared" si="2"/>
        <v>1</v>
      </c>
      <c r="I9" t="b">
        <f t="shared" si="3"/>
        <v>1</v>
      </c>
      <c r="J9" t="str">
        <f>_xlfn.XLOOKUP(C9,INVENTORY!A:A,INVENTORY!A:A,FALSE)</f>
        <v>0328052805287</v>
      </c>
      <c r="K9" t="b">
        <f t="shared" si="5"/>
        <v>1</v>
      </c>
      <c r="L9" s="4" t="b">
        <f t="shared" si="4"/>
        <v>1</v>
      </c>
      <c r="M9" t="b">
        <f>_xlfn.XLOOKUP(C9,INVENTORY!A:A,INVENTORY!C:C)*PURCHASE!D9=PURCHASE!E9</f>
        <v>1</v>
      </c>
    </row>
    <row r="10" spans="1:13" x14ac:dyDescent="0.35">
      <c r="A10" s="1">
        <v>44214</v>
      </c>
      <c r="B10" t="s">
        <v>38</v>
      </c>
      <c r="C10" t="s">
        <v>20</v>
      </c>
      <c r="D10">
        <v>2</v>
      </c>
      <c r="E10">
        <v>200000</v>
      </c>
      <c r="F10" t="b">
        <f t="shared" si="0"/>
        <v>0</v>
      </c>
      <c r="G10" t="b">
        <f t="shared" si="1"/>
        <v>1</v>
      </c>
      <c r="H10" t="b">
        <f t="shared" si="2"/>
        <v>1</v>
      </c>
      <c r="I10" t="b">
        <f t="shared" si="3"/>
        <v>1</v>
      </c>
      <c r="J10" t="str">
        <f>_xlfn.XLOOKUP(C10,INVENTORY!A:A,INVENTORY!A:A,FALSE)</f>
        <v>0025009700977</v>
      </c>
      <c r="K10" t="b">
        <f t="shared" si="5"/>
        <v>1</v>
      </c>
      <c r="L10" s="4" t="b">
        <f t="shared" si="4"/>
        <v>1</v>
      </c>
      <c r="M10" t="b">
        <f>_xlfn.XLOOKUP(C10,INVENTORY!A:A,INVENTORY!C:C)*PURCHASE!D10=PURCHASE!E10</f>
        <v>1</v>
      </c>
    </row>
    <row r="11" spans="1:13" x14ac:dyDescent="0.35">
      <c r="A11" s="1">
        <v>44215</v>
      </c>
      <c r="B11" t="s">
        <v>39</v>
      </c>
      <c r="C11" t="s">
        <v>16</v>
      </c>
      <c r="D11">
        <v>2</v>
      </c>
      <c r="E11">
        <v>120000</v>
      </c>
      <c r="F11" t="b">
        <f t="shared" si="0"/>
        <v>0</v>
      </c>
      <c r="G11" t="b">
        <f t="shared" si="1"/>
        <v>1</v>
      </c>
      <c r="H11" t="b">
        <f t="shared" si="2"/>
        <v>1</v>
      </c>
      <c r="I11" t="b">
        <f t="shared" si="3"/>
        <v>1</v>
      </c>
      <c r="J11" t="str">
        <f>_xlfn.XLOOKUP(C11,INVENTORY!A:A,INVENTORY!A:A,FALSE)</f>
        <v>0730075107512</v>
      </c>
      <c r="K11" t="b">
        <f t="shared" si="5"/>
        <v>1</v>
      </c>
      <c r="L11" s="4" t="b">
        <f t="shared" si="4"/>
        <v>1</v>
      </c>
      <c r="M11" t="b">
        <f>_xlfn.XLOOKUP(C11,INVENTORY!A:A,INVENTORY!C:C)*PURCHASE!D11=PURCHASE!E11</f>
        <v>1</v>
      </c>
    </row>
    <row r="12" spans="1:13" x14ac:dyDescent="0.35">
      <c r="A12" s="1">
        <v>44216</v>
      </c>
      <c r="B12" t="s">
        <v>40</v>
      </c>
      <c r="C12" t="s">
        <v>15</v>
      </c>
      <c r="D12">
        <v>2</v>
      </c>
      <c r="E12">
        <v>240000</v>
      </c>
      <c r="F12" t="b">
        <f t="shared" si="0"/>
        <v>0</v>
      </c>
      <c r="G12" t="b">
        <f t="shared" si="1"/>
        <v>1</v>
      </c>
      <c r="H12" t="b">
        <f t="shared" si="2"/>
        <v>1</v>
      </c>
      <c r="I12" t="b">
        <f t="shared" si="3"/>
        <v>1</v>
      </c>
      <c r="J12" t="str">
        <f>_xlfn.XLOOKUP(C12,INVENTORY!A:A,INVENTORY!A:A,FALSE)</f>
        <v>0633015501556</v>
      </c>
      <c r="K12" t="b">
        <f t="shared" si="5"/>
        <v>1</v>
      </c>
      <c r="L12" s="4" t="b">
        <f t="shared" si="4"/>
        <v>1</v>
      </c>
      <c r="M12" t="b">
        <f>_xlfn.XLOOKUP(C12,INVENTORY!A:A,INVENTORY!C:C)*PURCHASE!D12=PURCHASE!E12</f>
        <v>1</v>
      </c>
    </row>
    <row r="13" spans="1:13" x14ac:dyDescent="0.35">
      <c r="A13" s="1">
        <v>44220</v>
      </c>
      <c r="B13" t="s">
        <v>41</v>
      </c>
      <c r="C13" t="s">
        <v>21</v>
      </c>
      <c r="D13">
        <v>3</v>
      </c>
      <c r="E13">
        <v>120000</v>
      </c>
      <c r="F13" t="b">
        <f t="shared" si="0"/>
        <v>0</v>
      </c>
      <c r="G13" t="b">
        <f t="shared" si="1"/>
        <v>1</v>
      </c>
      <c r="H13" t="b">
        <f t="shared" si="2"/>
        <v>1</v>
      </c>
      <c r="I13" t="b">
        <f t="shared" si="3"/>
        <v>1</v>
      </c>
      <c r="J13" t="str">
        <f>_xlfn.XLOOKUP(C13,INVENTORY!A:A,INVENTORY!A:A,FALSE)</f>
        <v>0417077107716</v>
      </c>
      <c r="K13" t="b">
        <f t="shared" si="5"/>
        <v>1</v>
      </c>
      <c r="L13" s="4" t="b">
        <f t="shared" si="4"/>
        <v>1</v>
      </c>
      <c r="M13" t="b">
        <f>_xlfn.XLOOKUP(C13,INVENTORY!A:A,INVENTORY!C:C)*PURCHASE!D13=PURCHASE!E13</f>
        <v>1</v>
      </c>
    </row>
    <row r="14" spans="1:13" x14ac:dyDescent="0.35">
      <c r="A14" s="1">
        <v>44221</v>
      </c>
      <c r="B14" t="s">
        <v>42</v>
      </c>
      <c r="C14" t="s">
        <v>16</v>
      </c>
      <c r="D14">
        <v>3</v>
      </c>
      <c r="E14">
        <v>180000</v>
      </c>
      <c r="F14" t="b">
        <f t="shared" si="0"/>
        <v>0</v>
      </c>
      <c r="G14" t="b">
        <f t="shared" si="1"/>
        <v>1</v>
      </c>
      <c r="H14" t="b">
        <f t="shared" si="2"/>
        <v>1</v>
      </c>
      <c r="I14" t="b">
        <f t="shared" si="3"/>
        <v>1</v>
      </c>
      <c r="J14" t="str">
        <f>_xlfn.XLOOKUP(C14,INVENTORY!A:A,INVENTORY!A:A,FALSE)</f>
        <v>0730075107512</v>
      </c>
      <c r="K14" t="b">
        <f t="shared" si="5"/>
        <v>1</v>
      </c>
      <c r="L14" s="4" t="b">
        <f t="shared" si="4"/>
        <v>1</v>
      </c>
      <c r="M14" t="b">
        <f>_xlfn.XLOOKUP(C14,INVENTORY!A:A,INVENTORY!C:C)*PURCHASE!D14=PURCHASE!E14</f>
        <v>1</v>
      </c>
    </row>
    <row r="15" spans="1:13" x14ac:dyDescent="0.35">
      <c r="A15" s="1">
        <v>44224</v>
      </c>
      <c r="B15" t="s">
        <v>43</v>
      </c>
      <c r="C15" t="s">
        <v>22</v>
      </c>
      <c r="D15">
        <v>1</v>
      </c>
      <c r="E15">
        <v>80000</v>
      </c>
      <c r="F15" t="b">
        <f t="shared" si="0"/>
        <v>0</v>
      </c>
      <c r="G15" t="b">
        <f t="shared" si="1"/>
        <v>1</v>
      </c>
      <c r="H15" t="b">
        <f t="shared" si="2"/>
        <v>1</v>
      </c>
      <c r="I15" t="b">
        <f t="shared" si="3"/>
        <v>1</v>
      </c>
      <c r="J15" t="str">
        <f>_xlfn.XLOOKUP(C15,INVENTORY!A:A,INVENTORY!A:A,FALSE)</f>
        <v>0031062606262</v>
      </c>
      <c r="K15" t="b">
        <f t="shared" si="5"/>
        <v>1</v>
      </c>
      <c r="L15" s="4" t="b">
        <f t="shared" si="4"/>
        <v>1</v>
      </c>
      <c r="M15" t="b">
        <f>_xlfn.XLOOKUP(C15,INVENTORY!A:A,INVENTORY!C:C)*PURCHASE!D15=PURCHASE!E15</f>
        <v>1</v>
      </c>
    </row>
    <row r="16" spans="1:13" x14ac:dyDescent="0.35">
      <c r="A16" s="1">
        <v>44227</v>
      </c>
      <c r="B16" t="s">
        <v>44</v>
      </c>
      <c r="C16" t="s">
        <v>23</v>
      </c>
      <c r="D16">
        <v>2</v>
      </c>
      <c r="E16">
        <v>300000</v>
      </c>
      <c r="F16" t="b">
        <f t="shared" si="0"/>
        <v>0</v>
      </c>
      <c r="G16" t="b">
        <f t="shared" si="1"/>
        <v>1</v>
      </c>
      <c r="H16" t="b">
        <f t="shared" si="2"/>
        <v>1</v>
      </c>
      <c r="I16" t="b">
        <f t="shared" si="3"/>
        <v>1</v>
      </c>
      <c r="J16" t="str">
        <f>_xlfn.XLOOKUP(C16,INVENTORY!A:A,INVENTORY!A:A,FALSE)</f>
        <v>0704075507555</v>
      </c>
      <c r="K16" t="b">
        <f t="shared" si="5"/>
        <v>1</v>
      </c>
      <c r="L16" s="4" t="b">
        <f t="shared" si="4"/>
        <v>1</v>
      </c>
      <c r="M16" t="b">
        <f>_xlfn.XLOOKUP(C16,INVENTORY!A:A,INVENTORY!C:C)*PURCHASE!D16=PURCHASE!E16</f>
        <v>1</v>
      </c>
    </row>
    <row r="17" spans="1:13" x14ac:dyDescent="0.35">
      <c r="A17" s="1">
        <v>44228</v>
      </c>
      <c r="B17" t="s">
        <v>45</v>
      </c>
      <c r="C17" t="s">
        <v>18</v>
      </c>
      <c r="D17">
        <v>2</v>
      </c>
      <c r="E17">
        <v>220000</v>
      </c>
      <c r="F17" t="b">
        <f t="shared" si="0"/>
        <v>0</v>
      </c>
      <c r="G17" t="b">
        <f t="shared" si="1"/>
        <v>1</v>
      </c>
      <c r="H17" t="b">
        <f t="shared" si="2"/>
        <v>1</v>
      </c>
      <c r="I17" t="b">
        <f t="shared" si="3"/>
        <v>1</v>
      </c>
      <c r="J17" t="str">
        <f>_xlfn.XLOOKUP(C17,INVENTORY!A:A,INVENTORY!A:A,FALSE)</f>
        <v>0818047804785</v>
      </c>
      <c r="K17" t="b">
        <f t="shared" si="5"/>
        <v>1</v>
      </c>
      <c r="L17" s="4" t="b">
        <f t="shared" si="4"/>
        <v>1</v>
      </c>
      <c r="M17" t="b">
        <f>_xlfn.XLOOKUP(C17,INVENTORY!A:A,INVENTORY!C:C)*PURCHASE!D17=PURCHASE!E17</f>
        <v>1</v>
      </c>
    </row>
    <row r="18" spans="1:13" x14ac:dyDescent="0.35">
      <c r="A18" s="1">
        <v>44230</v>
      </c>
      <c r="B18" t="s">
        <v>46</v>
      </c>
      <c r="C18" t="s">
        <v>15</v>
      </c>
      <c r="D18">
        <v>1</v>
      </c>
      <c r="E18">
        <v>120000</v>
      </c>
      <c r="F18" t="b">
        <f t="shared" si="0"/>
        <v>0</v>
      </c>
      <c r="G18" t="b">
        <f t="shared" si="1"/>
        <v>1</v>
      </c>
      <c r="H18" t="b">
        <f t="shared" si="2"/>
        <v>1</v>
      </c>
      <c r="I18" t="b">
        <f t="shared" si="3"/>
        <v>1</v>
      </c>
      <c r="J18" t="str">
        <f>_xlfn.XLOOKUP(C18,INVENTORY!A:A,INVENTORY!A:A,FALSE)</f>
        <v>0633015501556</v>
      </c>
      <c r="K18" t="b">
        <f t="shared" si="5"/>
        <v>1</v>
      </c>
      <c r="L18" s="4" t="b">
        <f t="shared" si="4"/>
        <v>1</v>
      </c>
      <c r="M18" t="b">
        <f>_xlfn.XLOOKUP(C18,INVENTORY!A:A,INVENTORY!C:C)*PURCHASE!D18=PURCHASE!E18</f>
        <v>1</v>
      </c>
    </row>
    <row r="19" spans="1:13" x14ac:dyDescent="0.35">
      <c r="A19" s="1">
        <v>44231</v>
      </c>
      <c r="B19" t="s">
        <v>47</v>
      </c>
      <c r="C19" t="s">
        <v>20</v>
      </c>
      <c r="D19">
        <v>1</v>
      </c>
      <c r="E19">
        <v>100000</v>
      </c>
      <c r="F19" t="b">
        <f t="shared" si="0"/>
        <v>0</v>
      </c>
      <c r="G19" t="b">
        <f t="shared" si="1"/>
        <v>1</v>
      </c>
      <c r="H19" t="b">
        <f t="shared" si="2"/>
        <v>1</v>
      </c>
      <c r="I19" t="b">
        <f t="shared" si="3"/>
        <v>1</v>
      </c>
      <c r="J19" t="str">
        <f>_xlfn.XLOOKUP(C19,INVENTORY!A:A,INVENTORY!A:A,FALSE)</f>
        <v>0025009700977</v>
      </c>
      <c r="K19" t="b">
        <f t="shared" si="5"/>
        <v>1</v>
      </c>
      <c r="L19" s="4" t="b">
        <f t="shared" si="4"/>
        <v>1</v>
      </c>
      <c r="M19" t="b">
        <f>_xlfn.XLOOKUP(C19,INVENTORY!A:A,INVENTORY!C:C)*PURCHASE!D19=PURCHASE!E19</f>
        <v>1</v>
      </c>
    </row>
    <row r="20" spans="1:13" x14ac:dyDescent="0.35">
      <c r="A20" s="1">
        <v>44233</v>
      </c>
      <c r="B20" t="s">
        <v>48</v>
      </c>
      <c r="C20" t="s">
        <v>26</v>
      </c>
      <c r="D20">
        <v>1</v>
      </c>
      <c r="E20">
        <v>30000</v>
      </c>
      <c r="F20" t="b">
        <f t="shared" si="0"/>
        <v>0</v>
      </c>
      <c r="G20" t="b">
        <f t="shared" si="1"/>
        <v>1</v>
      </c>
      <c r="H20" t="b">
        <f t="shared" si="2"/>
        <v>1</v>
      </c>
      <c r="I20" t="b">
        <f t="shared" si="3"/>
        <v>1</v>
      </c>
      <c r="J20" t="str">
        <f>_xlfn.XLOOKUP(C20,INVENTORY!A:A,INVENTORY!A:A,FALSE)</f>
        <v>0328052805287</v>
      </c>
      <c r="K20" t="b">
        <f t="shared" si="5"/>
        <v>1</v>
      </c>
      <c r="L20" s="4" t="b">
        <f t="shared" si="4"/>
        <v>1</v>
      </c>
      <c r="M20" t="b">
        <f>_xlfn.XLOOKUP(C20,INVENTORY!A:A,INVENTORY!C:C)*PURCHASE!D20=PURCHASE!E20</f>
        <v>1</v>
      </c>
    </row>
    <row r="21" spans="1:13" x14ac:dyDescent="0.35">
      <c r="A21" s="1">
        <v>44234</v>
      </c>
      <c r="B21" t="s">
        <v>49</v>
      </c>
      <c r="C21" t="s">
        <v>25</v>
      </c>
      <c r="D21">
        <v>2</v>
      </c>
      <c r="E21">
        <v>100000</v>
      </c>
      <c r="F21" t="b">
        <f t="shared" si="0"/>
        <v>0</v>
      </c>
      <c r="G21" t="b">
        <f t="shared" si="1"/>
        <v>1</v>
      </c>
      <c r="H21" t="b">
        <f t="shared" si="2"/>
        <v>1</v>
      </c>
      <c r="I21" t="b">
        <f t="shared" si="3"/>
        <v>1</v>
      </c>
      <c r="J21" t="str">
        <f>_xlfn.XLOOKUP(C21,INVENTORY!A:A,INVENTORY!A:A,FALSE)</f>
        <v>0039008000806</v>
      </c>
      <c r="K21" t="b">
        <f t="shared" si="5"/>
        <v>1</v>
      </c>
      <c r="L21" s="4" t="b">
        <f t="shared" si="4"/>
        <v>1</v>
      </c>
      <c r="M21" t="b">
        <f>_xlfn.XLOOKUP(C21,INVENTORY!A:A,INVENTORY!C:C)*PURCHASE!D21=PURCHASE!E21</f>
        <v>1</v>
      </c>
    </row>
    <row r="22" spans="1:13" x14ac:dyDescent="0.35">
      <c r="A22" s="1">
        <v>44238</v>
      </c>
      <c r="B22" t="s">
        <v>50</v>
      </c>
      <c r="C22" t="s">
        <v>20</v>
      </c>
      <c r="D22">
        <v>3</v>
      </c>
      <c r="E22">
        <v>300000</v>
      </c>
      <c r="F22" t="b">
        <f t="shared" si="0"/>
        <v>0</v>
      </c>
      <c r="G22" t="b">
        <f t="shared" si="1"/>
        <v>1</v>
      </c>
      <c r="H22" t="b">
        <f t="shared" si="2"/>
        <v>1</v>
      </c>
      <c r="I22" t="b">
        <f t="shared" si="3"/>
        <v>1</v>
      </c>
      <c r="J22" t="str">
        <f>_xlfn.XLOOKUP(C22,INVENTORY!A:A,INVENTORY!A:A,FALSE)</f>
        <v>0025009700977</v>
      </c>
      <c r="K22" t="b">
        <f t="shared" si="5"/>
        <v>1</v>
      </c>
      <c r="L22" s="4" t="b">
        <f t="shared" si="4"/>
        <v>1</v>
      </c>
      <c r="M22" t="b">
        <f>_xlfn.XLOOKUP(C22,INVENTORY!A:A,INVENTORY!C:C)*PURCHASE!D22=PURCHASE!E22</f>
        <v>1</v>
      </c>
    </row>
    <row r="23" spans="1:13" x14ac:dyDescent="0.35">
      <c r="A23" s="1">
        <v>44241</v>
      </c>
      <c r="B23" t="s">
        <v>51</v>
      </c>
      <c r="C23" t="s">
        <v>21</v>
      </c>
      <c r="D23">
        <v>3</v>
      </c>
      <c r="E23">
        <v>120000</v>
      </c>
      <c r="F23" t="b">
        <f t="shared" si="0"/>
        <v>0</v>
      </c>
      <c r="G23" t="b">
        <f t="shared" si="1"/>
        <v>1</v>
      </c>
      <c r="H23" t="b">
        <f t="shared" si="2"/>
        <v>1</v>
      </c>
      <c r="I23" t="b">
        <f t="shared" si="3"/>
        <v>1</v>
      </c>
      <c r="J23" t="str">
        <f>_xlfn.XLOOKUP(C23,INVENTORY!A:A,INVENTORY!A:A,FALSE)</f>
        <v>0417077107716</v>
      </c>
      <c r="K23" t="b">
        <f t="shared" si="5"/>
        <v>1</v>
      </c>
      <c r="L23" s="4" t="b">
        <f t="shared" si="4"/>
        <v>1</v>
      </c>
      <c r="M23" t="b">
        <f>_xlfn.XLOOKUP(C23,INVENTORY!A:A,INVENTORY!C:C)*PURCHASE!D23=PURCHASE!E23</f>
        <v>1</v>
      </c>
    </row>
    <row r="24" spans="1:13" x14ac:dyDescent="0.35">
      <c r="A24" s="1">
        <v>44243</v>
      </c>
      <c r="B24" t="s">
        <v>52</v>
      </c>
      <c r="C24" t="s">
        <v>16</v>
      </c>
      <c r="D24">
        <v>3</v>
      </c>
      <c r="E24">
        <v>180000</v>
      </c>
      <c r="F24" t="b">
        <f t="shared" si="0"/>
        <v>0</v>
      </c>
      <c r="G24" t="b">
        <f t="shared" si="1"/>
        <v>1</v>
      </c>
      <c r="H24" t="b">
        <f t="shared" si="2"/>
        <v>1</v>
      </c>
      <c r="I24" t="b">
        <f t="shared" si="3"/>
        <v>1</v>
      </c>
      <c r="J24" t="str">
        <f>_xlfn.XLOOKUP(C24,INVENTORY!A:A,INVENTORY!A:A,FALSE)</f>
        <v>0730075107512</v>
      </c>
      <c r="K24" t="b">
        <f t="shared" si="5"/>
        <v>1</v>
      </c>
      <c r="L24" s="4" t="b">
        <f t="shared" si="4"/>
        <v>1</v>
      </c>
      <c r="M24" t="b">
        <f>_xlfn.XLOOKUP(C24,INVENTORY!A:A,INVENTORY!C:C)*PURCHASE!D24=PURCHASE!E24</f>
        <v>1</v>
      </c>
    </row>
    <row r="25" spans="1:13" x14ac:dyDescent="0.35">
      <c r="A25" s="1">
        <v>44244</v>
      </c>
      <c r="B25" t="s">
        <v>53</v>
      </c>
      <c r="C25" t="s">
        <v>14</v>
      </c>
      <c r="D25">
        <v>3</v>
      </c>
      <c r="E25">
        <v>300000</v>
      </c>
      <c r="F25" t="b">
        <f t="shared" si="0"/>
        <v>0</v>
      </c>
      <c r="G25" t="b">
        <f t="shared" si="1"/>
        <v>1</v>
      </c>
      <c r="H25" t="b">
        <f t="shared" si="2"/>
        <v>1</v>
      </c>
      <c r="I25" t="b">
        <f t="shared" si="3"/>
        <v>1</v>
      </c>
      <c r="J25" t="str">
        <f>_xlfn.XLOOKUP(C25,INVENTORY!A:A,INVENTORY!A:A,FALSE)</f>
        <v>0644057805786</v>
      </c>
      <c r="K25" t="b">
        <f t="shared" si="5"/>
        <v>1</v>
      </c>
      <c r="L25" s="4" t="b">
        <f t="shared" si="4"/>
        <v>1</v>
      </c>
      <c r="M25" t="b">
        <f>_xlfn.XLOOKUP(C25,INVENTORY!A:A,INVENTORY!C:C)*PURCHASE!D25=PURCHASE!E25</f>
        <v>1</v>
      </c>
    </row>
    <row r="26" spans="1:13" x14ac:dyDescent="0.35">
      <c r="A26" s="2" t="s">
        <v>83</v>
      </c>
      <c r="C26" t="s">
        <v>24</v>
      </c>
      <c r="D26">
        <v>13</v>
      </c>
      <c r="E26">
        <v>450000</v>
      </c>
      <c r="F26" t="b">
        <f t="shared" si="0"/>
        <v>1</v>
      </c>
      <c r="G26" t="b">
        <f t="shared" si="1"/>
        <v>0</v>
      </c>
      <c r="H26" t="b">
        <f t="shared" si="2"/>
        <v>0</v>
      </c>
      <c r="I26" t="b">
        <f t="shared" si="3"/>
        <v>0</v>
      </c>
      <c r="J26" t="str">
        <f>_xlfn.XLOOKUP(C26,INVENTORY!A:A,INVENTORY!A:A,FALSE)</f>
        <v>0509056805682</v>
      </c>
      <c r="K26" t="b">
        <f t="shared" si="5"/>
        <v>0</v>
      </c>
      <c r="L26" s="4" t="b">
        <f t="shared" si="4"/>
        <v>0</v>
      </c>
      <c r="M26" t="b">
        <f>_xlfn.XLOOKUP(C26,INVENTORY!A:A,INVENTORY!C:C)*PURCHASE!D26=PURCHASE!E26</f>
        <v>0</v>
      </c>
    </row>
    <row r="27" spans="1:13" x14ac:dyDescent="0.35">
      <c r="A27" s="1">
        <v>44249</v>
      </c>
      <c r="B27" t="s">
        <v>54</v>
      </c>
      <c r="C27" t="s">
        <v>15</v>
      </c>
      <c r="D27">
        <v>2</v>
      </c>
      <c r="E27">
        <v>240000</v>
      </c>
      <c r="F27" t="b">
        <f t="shared" si="0"/>
        <v>0</v>
      </c>
      <c r="G27" t="b">
        <f t="shared" si="1"/>
        <v>1</v>
      </c>
      <c r="H27" t="b">
        <f t="shared" si="2"/>
        <v>1</v>
      </c>
      <c r="I27" t="b">
        <f t="shared" si="3"/>
        <v>1</v>
      </c>
      <c r="J27" t="str">
        <f>_xlfn.XLOOKUP(C27,INVENTORY!A:A,INVENTORY!A:A,FALSE)</f>
        <v>0633015501556</v>
      </c>
      <c r="K27" t="b">
        <f t="shared" si="5"/>
        <v>0</v>
      </c>
      <c r="L27" s="4" t="b">
        <f t="shared" si="4"/>
        <v>1</v>
      </c>
      <c r="M27" t="b">
        <f>_xlfn.XLOOKUP(C27,INVENTORY!A:A,INVENTORY!C:C)*PURCHASE!D27=PURCHASE!E27</f>
        <v>1</v>
      </c>
    </row>
    <row r="28" spans="1:13" x14ac:dyDescent="0.35">
      <c r="A28" s="1">
        <v>44250</v>
      </c>
      <c r="B28" t="s">
        <v>55</v>
      </c>
      <c r="C28" t="s">
        <v>14</v>
      </c>
      <c r="D28">
        <v>2</v>
      </c>
      <c r="E28">
        <v>200000</v>
      </c>
      <c r="F28" t="b">
        <f t="shared" si="0"/>
        <v>0</v>
      </c>
      <c r="G28" t="b">
        <f t="shared" si="1"/>
        <v>1</v>
      </c>
      <c r="H28" t="b">
        <f t="shared" si="2"/>
        <v>1</v>
      </c>
      <c r="I28" t="b">
        <f t="shared" si="3"/>
        <v>1</v>
      </c>
      <c r="J28" t="str">
        <f>_xlfn.XLOOKUP(C28,INVENTORY!A:A,INVENTORY!A:A,FALSE)</f>
        <v>0644057805786</v>
      </c>
      <c r="K28" t="b">
        <f t="shared" si="5"/>
        <v>1</v>
      </c>
      <c r="L28" s="4" t="b">
        <f t="shared" si="4"/>
        <v>1</v>
      </c>
      <c r="M28" t="b">
        <f>_xlfn.XLOOKUP(C28,INVENTORY!A:A,INVENTORY!C:C)*PURCHASE!D28=PURCHASE!E28</f>
        <v>1</v>
      </c>
    </row>
    <row r="29" spans="1:13" x14ac:dyDescent="0.35">
      <c r="A29" s="1">
        <v>44252</v>
      </c>
      <c r="B29" t="s">
        <v>56</v>
      </c>
      <c r="C29" t="s">
        <v>25</v>
      </c>
      <c r="D29">
        <v>3</v>
      </c>
      <c r="E29">
        <v>150000</v>
      </c>
      <c r="F29" t="b">
        <f t="shared" si="0"/>
        <v>0</v>
      </c>
      <c r="G29" t="b">
        <f t="shared" si="1"/>
        <v>1</v>
      </c>
      <c r="H29" t="b">
        <f t="shared" si="2"/>
        <v>1</v>
      </c>
      <c r="I29" t="b">
        <f t="shared" si="3"/>
        <v>1</v>
      </c>
      <c r="J29" t="str">
        <f>_xlfn.XLOOKUP(C29,INVENTORY!A:A,INVENTORY!A:A,FALSE)</f>
        <v>0039008000806</v>
      </c>
      <c r="K29" t="b">
        <f t="shared" si="5"/>
        <v>1</v>
      </c>
      <c r="L29" s="4" t="b">
        <f t="shared" si="4"/>
        <v>1</v>
      </c>
      <c r="M29" t="b">
        <f>_xlfn.XLOOKUP(C29,INVENTORY!A:A,INVENTORY!C:C)*PURCHASE!D29=PURCHASE!E29</f>
        <v>1</v>
      </c>
    </row>
    <row r="30" spans="1:13" x14ac:dyDescent="0.35">
      <c r="A30" s="1">
        <v>44256</v>
      </c>
      <c r="B30" t="s">
        <v>57</v>
      </c>
      <c r="C30" t="s">
        <v>14</v>
      </c>
      <c r="D30">
        <v>1</v>
      </c>
      <c r="E30">
        <v>100000</v>
      </c>
      <c r="F30" t="b">
        <f t="shared" si="0"/>
        <v>0</v>
      </c>
      <c r="G30" t="b">
        <f t="shared" si="1"/>
        <v>1</v>
      </c>
      <c r="H30" t="b">
        <f t="shared" si="2"/>
        <v>1</v>
      </c>
      <c r="I30" t="b">
        <f t="shared" si="3"/>
        <v>1</v>
      </c>
      <c r="J30" t="str">
        <f>_xlfn.XLOOKUP(C30,INVENTORY!A:A,INVENTORY!A:A,FALSE)</f>
        <v>0644057805786</v>
      </c>
      <c r="K30" t="b">
        <f t="shared" si="5"/>
        <v>1</v>
      </c>
      <c r="L30" s="4" t="b">
        <f t="shared" si="4"/>
        <v>1</v>
      </c>
      <c r="M30" t="b">
        <f>_xlfn.XLOOKUP(C30,INVENTORY!A:A,INVENTORY!C:C)*PURCHASE!D30=PURCHASE!E30</f>
        <v>1</v>
      </c>
    </row>
    <row r="31" spans="1:13" x14ac:dyDescent="0.35">
      <c r="A31" s="1">
        <v>44257</v>
      </c>
      <c r="B31" t="s">
        <v>58</v>
      </c>
      <c r="C31" t="s">
        <v>15</v>
      </c>
      <c r="D31">
        <v>1</v>
      </c>
      <c r="E31">
        <v>120000</v>
      </c>
      <c r="F31" t="b">
        <f t="shared" si="0"/>
        <v>0</v>
      </c>
      <c r="G31" t="b">
        <f t="shared" si="1"/>
        <v>1</v>
      </c>
      <c r="H31" t="b">
        <f t="shared" si="2"/>
        <v>1</v>
      </c>
      <c r="I31" t="b">
        <f t="shared" si="3"/>
        <v>1</v>
      </c>
      <c r="J31" t="str">
        <f>_xlfn.XLOOKUP(C31,INVENTORY!A:A,INVENTORY!A:A,FALSE)</f>
        <v>0633015501556</v>
      </c>
      <c r="K31" t="b">
        <f t="shared" si="5"/>
        <v>1</v>
      </c>
      <c r="L31" s="4" t="b">
        <f t="shared" si="4"/>
        <v>1</v>
      </c>
      <c r="M31" t="b">
        <f>_xlfn.XLOOKUP(C31,INVENTORY!A:A,INVENTORY!C:C)*PURCHASE!D31=PURCHASE!E31</f>
        <v>1</v>
      </c>
    </row>
    <row r="32" spans="1:13" x14ac:dyDescent="0.35">
      <c r="A32" s="1">
        <v>44258</v>
      </c>
      <c r="B32" t="s">
        <v>59</v>
      </c>
      <c r="C32" t="s">
        <v>25</v>
      </c>
      <c r="D32">
        <v>2</v>
      </c>
      <c r="E32">
        <v>100000</v>
      </c>
      <c r="F32" t="b">
        <f t="shared" si="0"/>
        <v>0</v>
      </c>
      <c r="G32" t="b">
        <f t="shared" si="1"/>
        <v>1</v>
      </c>
      <c r="H32" t="b">
        <f t="shared" si="2"/>
        <v>1</v>
      </c>
      <c r="I32" t="b">
        <f t="shared" si="3"/>
        <v>1</v>
      </c>
      <c r="J32" t="str">
        <f>_xlfn.XLOOKUP(C32,INVENTORY!A:A,INVENTORY!A:A,FALSE)</f>
        <v>0039008000806</v>
      </c>
      <c r="K32" t="b">
        <f t="shared" si="5"/>
        <v>1</v>
      </c>
      <c r="L32" s="4" t="b">
        <f t="shared" si="4"/>
        <v>1</v>
      </c>
      <c r="M32" t="b">
        <f>_xlfn.XLOOKUP(C32,INVENTORY!A:A,INVENTORY!C:C)*PURCHASE!D32=PURCHASE!E32</f>
        <v>1</v>
      </c>
    </row>
    <row r="33" spans="1:13" x14ac:dyDescent="0.35">
      <c r="A33" s="1">
        <v>44262</v>
      </c>
      <c r="B33" t="s">
        <v>60</v>
      </c>
      <c r="C33" t="s">
        <v>14</v>
      </c>
      <c r="D33">
        <v>2</v>
      </c>
      <c r="E33">
        <v>200000</v>
      </c>
      <c r="F33" t="b">
        <f t="shared" si="0"/>
        <v>0</v>
      </c>
      <c r="G33" t="b">
        <f t="shared" si="1"/>
        <v>1</v>
      </c>
      <c r="H33" t="b">
        <f t="shared" si="2"/>
        <v>1</v>
      </c>
      <c r="I33" t="b">
        <f t="shared" si="3"/>
        <v>1</v>
      </c>
      <c r="J33" t="str">
        <f>_xlfn.XLOOKUP(C33,INVENTORY!A:A,INVENTORY!A:A,FALSE)</f>
        <v>0644057805786</v>
      </c>
      <c r="K33" t="b">
        <f t="shared" si="5"/>
        <v>1</v>
      </c>
      <c r="L33" s="4" t="b">
        <f t="shared" si="4"/>
        <v>1</v>
      </c>
      <c r="M33" t="b">
        <f>_xlfn.XLOOKUP(C33,INVENTORY!A:A,INVENTORY!C:C)*PURCHASE!D33=PURCHASE!E33</f>
        <v>1</v>
      </c>
    </row>
    <row r="34" spans="1:13" x14ac:dyDescent="0.35">
      <c r="A34" s="1">
        <v>44265</v>
      </c>
      <c r="B34" t="s">
        <v>61</v>
      </c>
      <c r="C34" t="s">
        <v>25</v>
      </c>
      <c r="D34">
        <v>1</v>
      </c>
      <c r="E34">
        <v>50000</v>
      </c>
      <c r="F34" t="b">
        <f t="shared" si="0"/>
        <v>0</v>
      </c>
      <c r="G34" t="b">
        <f t="shared" si="1"/>
        <v>1</v>
      </c>
      <c r="H34" t="b">
        <f t="shared" si="2"/>
        <v>1</v>
      </c>
      <c r="I34" t="b">
        <f t="shared" si="3"/>
        <v>1</v>
      </c>
      <c r="J34" t="str">
        <f>_xlfn.XLOOKUP(C34,INVENTORY!A:A,INVENTORY!A:A,FALSE)</f>
        <v>0039008000806</v>
      </c>
      <c r="K34" t="b">
        <f t="shared" si="5"/>
        <v>1</v>
      </c>
      <c r="L34" s="4" t="b">
        <f t="shared" si="4"/>
        <v>1</v>
      </c>
      <c r="M34" t="b">
        <f>_xlfn.XLOOKUP(C34,INVENTORY!A:A,INVENTORY!C:C)*PURCHASE!D34=PURCHASE!E34</f>
        <v>1</v>
      </c>
    </row>
    <row r="35" spans="1:13" x14ac:dyDescent="0.35">
      <c r="A35" s="1">
        <v>44266</v>
      </c>
      <c r="B35" t="s">
        <v>62</v>
      </c>
      <c r="C35" t="s">
        <v>16</v>
      </c>
      <c r="D35">
        <v>1</v>
      </c>
      <c r="E35">
        <v>60000</v>
      </c>
      <c r="F35" t="b">
        <f t="shared" si="0"/>
        <v>0</v>
      </c>
      <c r="G35" t="b">
        <f t="shared" si="1"/>
        <v>1</v>
      </c>
      <c r="H35" t="b">
        <f t="shared" si="2"/>
        <v>1</v>
      </c>
      <c r="I35" t="b">
        <f t="shared" si="3"/>
        <v>1</v>
      </c>
      <c r="J35" t="str">
        <f>_xlfn.XLOOKUP(C35,INVENTORY!A:A,INVENTORY!A:A,FALSE)</f>
        <v>0730075107512</v>
      </c>
      <c r="K35" t="b">
        <f t="shared" si="5"/>
        <v>1</v>
      </c>
      <c r="L35" s="4" t="b">
        <f t="shared" si="4"/>
        <v>1</v>
      </c>
      <c r="M35" t="b">
        <f>_xlfn.XLOOKUP(C35,INVENTORY!A:A,INVENTORY!C:C)*PURCHASE!D35=PURCHASE!E35</f>
        <v>1</v>
      </c>
    </row>
    <row r="36" spans="1:13" x14ac:dyDescent="0.35">
      <c r="A36" s="1">
        <v>44270</v>
      </c>
      <c r="B36" t="s">
        <v>63</v>
      </c>
      <c r="C36" t="s">
        <v>24</v>
      </c>
      <c r="D36">
        <v>2</v>
      </c>
      <c r="E36">
        <v>300000</v>
      </c>
      <c r="F36" t="b">
        <f t="shared" si="0"/>
        <v>0</v>
      </c>
      <c r="G36" t="b">
        <f t="shared" si="1"/>
        <v>1</v>
      </c>
      <c r="H36" t="b">
        <f t="shared" si="2"/>
        <v>1</v>
      </c>
      <c r="I36" t="b">
        <f t="shared" si="3"/>
        <v>1</v>
      </c>
      <c r="J36" t="str">
        <f>_xlfn.XLOOKUP(C36,INVENTORY!A:A,INVENTORY!A:A,FALSE)</f>
        <v>0509056805682</v>
      </c>
      <c r="K36" t="b">
        <f t="shared" si="5"/>
        <v>1</v>
      </c>
      <c r="L36" s="4" t="b">
        <f t="shared" si="4"/>
        <v>1</v>
      </c>
      <c r="M36" t="b">
        <f>_xlfn.XLOOKUP(C36,INVENTORY!A:A,INVENTORY!C:C)*PURCHASE!D36=PURCHASE!E36</f>
        <v>1</v>
      </c>
    </row>
    <row r="37" spans="1:13" x14ac:dyDescent="0.35">
      <c r="A37" s="1">
        <v>44272</v>
      </c>
      <c r="B37" t="s">
        <v>64</v>
      </c>
      <c r="C37" t="s">
        <v>17</v>
      </c>
      <c r="D37">
        <v>2</v>
      </c>
      <c r="E37">
        <v>60000</v>
      </c>
      <c r="F37" t="b">
        <f t="shared" si="0"/>
        <v>0</v>
      </c>
      <c r="G37" t="b">
        <f t="shared" si="1"/>
        <v>1</v>
      </c>
      <c r="H37" t="b">
        <f t="shared" si="2"/>
        <v>1</v>
      </c>
      <c r="I37" t="b">
        <f t="shared" si="3"/>
        <v>1</v>
      </c>
      <c r="J37" t="str">
        <f>_xlfn.XLOOKUP(C37,INVENTORY!A:A,INVENTORY!A:A,FALSE)</f>
        <v>0691000100016</v>
      </c>
      <c r="K37" t="b">
        <f t="shared" si="5"/>
        <v>1</v>
      </c>
      <c r="L37" s="4" t="b">
        <f t="shared" si="4"/>
        <v>1</v>
      </c>
      <c r="M37" t="b">
        <f>_xlfn.XLOOKUP(C37,INVENTORY!A:A,INVENTORY!C:C)*PURCHASE!D37=PURCHASE!E37</f>
        <v>1</v>
      </c>
    </row>
    <row r="38" spans="1:13" x14ac:dyDescent="0.35">
      <c r="A38" s="1">
        <v>44273</v>
      </c>
      <c r="B38" t="s">
        <v>65</v>
      </c>
      <c r="C38" t="s">
        <v>24</v>
      </c>
      <c r="D38">
        <v>1</v>
      </c>
      <c r="E38">
        <v>150000</v>
      </c>
      <c r="F38" t="b">
        <f t="shared" si="0"/>
        <v>0</v>
      </c>
      <c r="G38" t="b">
        <f t="shared" si="1"/>
        <v>1</v>
      </c>
      <c r="H38" t="b">
        <f t="shared" si="2"/>
        <v>1</v>
      </c>
      <c r="I38" t="b">
        <f t="shared" si="3"/>
        <v>1</v>
      </c>
      <c r="J38" t="str">
        <f>_xlfn.XLOOKUP(C38,INVENTORY!A:A,INVENTORY!A:A,FALSE)</f>
        <v>0509056805682</v>
      </c>
      <c r="K38" t="b">
        <f t="shared" si="5"/>
        <v>1</v>
      </c>
      <c r="L38" s="4" t="b">
        <f t="shared" si="4"/>
        <v>1</v>
      </c>
      <c r="M38" t="b">
        <f>_xlfn.XLOOKUP(C38,INVENTORY!A:A,INVENTORY!C:C)*PURCHASE!D38=PURCHASE!E38</f>
        <v>1</v>
      </c>
    </row>
    <row r="39" spans="1:13" x14ac:dyDescent="0.35">
      <c r="A39" s="1">
        <v>44275</v>
      </c>
      <c r="B39" t="s">
        <v>66</v>
      </c>
      <c r="C39" t="s">
        <v>20</v>
      </c>
      <c r="D39">
        <v>3</v>
      </c>
      <c r="E39">
        <v>300000</v>
      </c>
      <c r="F39" t="b">
        <f t="shared" si="0"/>
        <v>0</v>
      </c>
      <c r="G39" t="b">
        <f t="shared" si="1"/>
        <v>1</v>
      </c>
      <c r="H39" t="b">
        <f t="shared" si="2"/>
        <v>1</v>
      </c>
      <c r="I39" t="b">
        <f t="shared" si="3"/>
        <v>1</v>
      </c>
      <c r="J39" t="str">
        <f>_xlfn.XLOOKUP(C39,INVENTORY!A:A,INVENTORY!A:A,FALSE)</f>
        <v>0025009700977</v>
      </c>
      <c r="K39" t="b">
        <f t="shared" si="5"/>
        <v>1</v>
      </c>
      <c r="L39" s="4" t="b">
        <f t="shared" si="4"/>
        <v>1</v>
      </c>
      <c r="M39" t="b">
        <f>_xlfn.XLOOKUP(C39,INVENTORY!A:A,INVENTORY!C:C)*PURCHASE!D39=PURCHASE!E39</f>
        <v>1</v>
      </c>
    </row>
    <row r="40" spans="1:13" x14ac:dyDescent="0.35">
      <c r="A40" s="1">
        <v>44278</v>
      </c>
      <c r="B40" t="s">
        <v>67</v>
      </c>
      <c r="C40" t="s">
        <v>25</v>
      </c>
      <c r="D40">
        <v>2</v>
      </c>
      <c r="E40">
        <v>100000</v>
      </c>
      <c r="F40" t="b">
        <f t="shared" si="0"/>
        <v>0</v>
      </c>
      <c r="G40" t="b">
        <f t="shared" si="1"/>
        <v>1</v>
      </c>
      <c r="H40" t="b">
        <f t="shared" si="2"/>
        <v>1</v>
      </c>
      <c r="I40" t="b">
        <f t="shared" si="3"/>
        <v>1</v>
      </c>
      <c r="J40" t="str">
        <f>_xlfn.XLOOKUP(C40,INVENTORY!A:A,INVENTORY!A:A,FALSE)</f>
        <v>0039008000806</v>
      </c>
      <c r="K40" t="b">
        <f t="shared" si="5"/>
        <v>1</v>
      </c>
      <c r="L40" s="4" t="b">
        <f t="shared" si="4"/>
        <v>1</v>
      </c>
      <c r="M40" t="b">
        <f>_xlfn.XLOOKUP(C40,INVENTORY!A:A,INVENTORY!C:C)*PURCHASE!D40=PURCHASE!E40</f>
        <v>1</v>
      </c>
    </row>
    <row r="41" spans="1:13" x14ac:dyDescent="0.35">
      <c r="A41" s="1">
        <v>44280</v>
      </c>
      <c r="B41" t="s">
        <v>68</v>
      </c>
      <c r="C41" t="s">
        <v>26</v>
      </c>
      <c r="D41">
        <v>2</v>
      </c>
      <c r="E41">
        <v>60000</v>
      </c>
      <c r="F41" t="b">
        <f t="shared" si="0"/>
        <v>0</v>
      </c>
      <c r="G41" t="b">
        <f t="shared" si="1"/>
        <v>1</v>
      </c>
      <c r="H41" t="b">
        <f t="shared" si="2"/>
        <v>1</v>
      </c>
      <c r="I41" t="b">
        <f t="shared" si="3"/>
        <v>1</v>
      </c>
      <c r="J41" t="str">
        <f>_xlfn.XLOOKUP(C41,INVENTORY!A:A,INVENTORY!A:A,FALSE)</f>
        <v>0328052805287</v>
      </c>
      <c r="K41" t="b">
        <f t="shared" si="5"/>
        <v>1</v>
      </c>
      <c r="L41" s="4" t="b">
        <f t="shared" si="4"/>
        <v>1</v>
      </c>
      <c r="M41" t="b">
        <f>_xlfn.XLOOKUP(C41,INVENTORY!A:A,INVENTORY!C:C)*PURCHASE!D41=PURCHASE!E41</f>
        <v>1</v>
      </c>
    </row>
    <row r="42" spans="1:13" x14ac:dyDescent="0.35">
      <c r="A42" s="1">
        <v>44281</v>
      </c>
      <c r="B42" t="s">
        <v>69</v>
      </c>
      <c r="C42" t="s">
        <v>15</v>
      </c>
      <c r="D42">
        <v>3</v>
      </c>
      <c r="E42">
        <v>360000</v>
      </c>
      <c r="F42" t="b">
        <f t="shared" si="0"/>
        <v>0</v>
      </c>
      <c r="G42" t="b">
        <f t="shared" si="1"/>
        <v>1</v>
      </c>
      <c r="H42" t="b">
        <f t="shared" si="2"/>
        <v>1</v>
      </c>
      <c r="I42" t="b">
        <f t="shared" si="3"/>
        <v>1</v>
      </c>
      <c r="J42" t="str">
        <f>_xlfn.XLOOKUP(C42,INVENTORY!A:A,INVENTORY!A:A,FALSE)</f>
        <v>0633015501556</v>
      </c>
      <c r="K42" t="b">
        <f t="shared" si="5"/>
        <v>1</v>
      </c>
      <c r="L42" s="4" t="b">
        <f t="shared" si="4"/>
        <v>1</v>
      </c>
      <c r="M42" t="b">
        <f>_xlfn.XLOOKUP(C42,INVENTORY!A:A,INVENTORY!C:C)*PURCHASE!D42=PURCHASE!E42</f>
        <v>1</v>
      </c>
    </row>
    <row r="43" spans="1:13" x14ac:dyDescent="0.35">
      <c r="A43" s="1">
        <v>44285</v>
      </c>
      <c r="B43" t="s">
        <v>71</v>
      </c>
      <c r="C43" t="s">
        <v>25</v>
      </c>
      <c r="D43">
        <v>1</v>
      </c>
      <c r="E43">
        <v>100000</v>
      </c>
      <c r="F43" t="b">
        <f t="shared" si="0"/>
        <v>0</v>
      </c>
      <c r="G43" t="b">
        <f t="shared" si="1"/>
        <v>1</v>
      </c>
      <c r="H43" t="b">
        <f t="shared" si="2"/>
        <v>1</v>
      </c>
      <c r="I43" t="b">
        <f t="shared" si="3"/>
        <v>1</v>
      </c>
      <c r="J43" t="str">
        <f>_xlfn.XLOOKUP(C43,INVENTORY!A:A,INVENTORY!A:A,FALSE)</f>
        <v>0039008000806</v>
      </c>
      <c r="K43" t="b">
        <f t="shared" si="5"/>
        <v>0</v>
      </c>
      <c r="L43" s="4" t="b">
        <f t="shared" si="4"/>
        <v>1</v>
      </c>
      <c r="M43" t="b">
        <f>_xlfn.XLOOKUP(C43,INVENTORY!A:A,INVENTORY!C:C)*PURCHASE!D43=PURCHASE!E43</f>
        <v>0</v>
      </c>
    </row>
    <row r="44" spans="1:13" x14ac:dyDescent="0.35">
      <c r="A44" s="1">
        <v>44289</v>
      </c>
      <c r="B44" t="s">
        <v>70</v>
      </c>
      <c r="C44" t="s">
        <v>14</v>
      </c>
      <c r="D44">
        <v>1</v>
      </c>
      <c r="E44">
        <v>100000</v>
      </c>
      <c r="F44" t="b">
        <f t="shared" si="0"/>
        <v>0</v>
      </c>
      <c r="G44" t="b">
        <f t="shared" si="1"/>
        <v>1</v>
      </c>
      <c r="H44" t="b">
        <f t="shared" si="2"/>
        <v>1</v>
      </c>
      <c r="I44" t="b">
        <f t="shared" si="3"/>
        <v>1</v>
      </c>
      <c r="J44" t="str">
        <f>_xlfn.XLOOKUP(C44,INVENTORY!A:A,INVENTORY!A:A,FALSE)</f>
        <v>0644057805786</v>
      </c>
      <c r="K44" t="b">
        <f t="shared" si="5"/>
        <v>0</v>
      </c>
      <c r="L44" s="4" t="b">
        <f t="shared" si="4"/>
        <v>1</v>
      </c>
      <c r="M44" t="b">
        <f>_xlfn.XLOOKUP(C44,INVENTORY!A:A,INVENTORY!C:C)*PURCHASE!D44=PURCHASE!E44</f>
        <v>1</v>
      </c>
    </row>
    <row r="45" spans="1:13" x14ac:dyDescent="0.35">
      <c r="A45" s="1">
        <v>44293</v>
      </c>
      <c r="B45" t="s">
        <v>72</v>
      </c>
      <c r="C45" t="s">
        <v>22</v>
      </c>
      <c r="D45">
        <v>2</v>
      </c>
      <c r="E45">
        <v>160000</v>
      </c>
      <c r="F45" t="b">
        <f t="shared" si="0"/>
        <v>0</v>
      </c>
      <c r="G45" t="b">
        <f t="shared" si="1"/>
        <v>1</v>
      </c>
      <c r="H45" t="b">
        <f t="shared" si="2"/>
        <v>1</v>
      </c>
      <c r="I45" t="b">
        <f t="shared" si="3"/>
        <v>1</v>
      </c>
      <c r="J45" t="str">
        <f>_xlfn.XLOOKUP(C45,INVENTORY!A:A,INVENTORY!A:A,FALSE)</f>
        <v>0031062606262</v>
      </c>
      <c r="K45" t="b">
        <f t="shared" si="5"/>
        <v>0</v>
      </c>
      <c r="L45" s="4" t="b">
        <f t="shared" si="4"/>
        <v>1</v>
      </c>
      <c r="M45" t="b">
        <f>_xlfn.XLOOKUP(C45,INVENTORY!A:A,INVENTORY!C:C)*PURCHASE!D45=PURCHASE!E45</f>
        <v>1</v>
      </c>
    </row>
    <row r="46" spans="1:13" x14ac:dyDescent="0.35">
      <c r="A46" s="1">
        <v>44296</v>
      </c>
      <c r="B46" t="s">
        <v>73</v>
      </c>
      <c r="C46" t="s">
        <v>20</v>
      </c>
      <c r="D46">
        <v>3</v>
      </c>
      <c r="E46">
        <v>300000</v>
      </c>
      <c r="F46" t="b">
        <f t="shared" si="0"/>
        <v>0</v>
      </c>
      <c r="G46" t="b">
        <f t="shared" si="1"/>
        <v>1</v>
      </c>
      <c r="H46" t="b">
        <f t="shared" si="2"/>
        <v>1</v>
      </c>
      <c r="I46" t="b">
        <f t="shared" si="3"/>
        <v>1</v>
      </c>
      <c r="J46" t="str">
        <f>_xlfn.XLOOKUP(C46,INVENTORY!A:A,INVENTORY!A:A,FALSE)</f>
        <v>0025009700977</v>
      </c>
      <c r="K46" t="b">
        <f t="shared" si="5"/>
        <v>1</v>
      </c>
      <c r="L46" s="4" t="b">
        <f t="shared" si="4"/>
        <v>0</v>
      </c>
      <c r="M46" t="b">
        <f>_xlfn.XLOOKUP(C46,INVENTORY!A:A,INVENTORY!C:C)*PURCHASE!D46=PURCHASE!E46</f>
        <v>1</v>
      </c>
    </row>
    <row r="47" spans="1:13" x14ac:dyDescent="0.35">
      <c r="A47" s="1">
        <v>44300</v>
      </c>
      <c r="B47" t="s">
        <v>73</v>
      </c>
      <c r="C47" t="s">
        <v>23</v>
      </c>
      <c r="D47">
        <v>3</v>
      </c>
      <c r="E47">
        <v>450000</v>
      </c>
      <c r="F47" t="b">
        <f t="shared" si="0"/>
        <v>0</v>
      </c>
      <c r="G47" t="b">
        <f t="shared" si="1"/>
        <v>1</v>
      </c>
      <c r="H47" t="b">
        <f t="shared" si="2"/>
        <v>1</v>
      </c>
      <c r="I47" t="b">
        <f t="shared" si="3"/>
        <v>1</v>
      </c>
      <c r="J47" t="str">
        <f>_xlfn.XLOOKUP(C47,INVENTORY!A:A,INVENTORY!A:A,FALSE)</f>
        <v>0704075507555</v>
      </c>
      <c r="K47" t="b">
        <f t="shared" si="5"/>
        <v>0</v>
      </c>
      <c r="L47" s="4" t="b">
        <f t="shared" si="4"/>
        <v>0</v>
      </c>
      <c r="M47" t="b">
        <f>_xlfn.XLOOKUP(C47,INVENTORY!A:A,INVENTORY!C:C)*PURCHASE!D47=PURCHASE!E47</f>
        <v>1</v>
      </c>
    </row>
    <row r="48" spans="1:13" x14ac:dyDescent="0.35">
      <c r="A48" s="1">
        <v>44304</v>
      </c>
      <c r="B48" t="s">
        <v>74</v>
      </c>
      <c r="C48" t="s">
        <v>24</v>
      </c>
      <c r="D48">
        <v>2</v>
      </c>
      <c r="E48">
        <v>300000</v>
      </c>
      <c r="F48" t="b">
        <f t="shared" si="0"/>
        <v>0</v>
      </c>
      <c r="G48" t="b">
        <f t="shared" si="1"/>
        <v>1</v>
      </c>
      <c r="H48" t="b">
        <f t="shared" si="2"/>
        <v>1</v>
      </c>
      <c r="I48" t="b">
        <f t="shared" si="3"/>
        <v>1</v>
      </c>
      <c r="J48" t="str">
        <f>_xlfn.XLOOKUP(C48,INVENTORY!A:A,INVENTORY!A:A,FALSE)</f>
        <v>0509056805682</v>
      </c>
      <c r="K48" t="b">
        <f t="shared" si="5"/>
        <v>0</v>
      </c>
      <c r="L48" s="4" t="b">
        <f t="shared" si="4"/>
        <v>1</v>
      </c>
      <c r="M48" t="b">
        <f>_xlfn.XLOOKUP(C48,INVENTORY!A:A,INVENTORY!C:C)*PURCHASE!D48=PURCHASE!E48</f>
        <v>1</v>
      </c>
    </row>
    <row r="49" spans="1:13" x14ac:dyDescent="0.35">
      <c r="A49" s="1">
        <v>44308</v>
      </c>
      <c r="B49" t="s">
        <v>75</v>
      </c>
      <c r="C49" t="s">
        <v>20</v>
      </c>
      <c r="D49">
        <v>3</v>
      </c>
      <c r="E49">
        <v>300000</v>
      </c>
      <c r="F49" t="b">
        <f t="shared" si="0"/>
        <v>0</v>
      </c>
      <c r="G49" t="b">
        <f t="shared" si="1"/>
        <v>1</v>
      </c>
      <c r="H49" t="b">
        <f t="shared" si="2"/>
        <v>1</v>
      </c>
      <c r="I49" t="b">
        <f t="shared" si="3"/>
        <v>1</v>
      </c>
      <c r="J49" t="str">
        <f>_xlfn.XLOOKUP(C49,INVENTORY!A:A,INVENTORY!A:A,FALSE)</f>
        <v>0025009700977</v>
      </c>
      <c r="K49" t="b">
        <f t="shared" si="5"/>
        <v>1</v>
      </c>
      <c r="L49" s="4" t="b">
        <f t="shared" si="4"/>
        <v>1</v>
      </c>
      <c r="M49" t="b">
        <f>_xlfn.XLOOKUP(C49,INVENTORY!A:A,INVENTORY!C:C)*PURCHASE!D49=PURCHASE!E49</f>
        <v>1</v>
      </c>
    </row>
    <row r="50" spans="1:13" x14ac:dyDescent="0.35">
      <c r="A50" s="1">
        <v>44311</v>
      </c>
      <c r="B50" t="s">
        <v>76</v>
      </c>
      <c r="C50" t="s">
        <v>25</v>
      </c>
      <c r="D50">
        <v>3</v>
      </c>
      <c r="E50">
        <v>150000</v>
      </c>
      <c r="F50" t="b">
        <f t="shared" si="0"/>
        <v>0</v>
      </c>
      <c r="G50" t="b">
        <f t="shared" si="1"/>
        <v>1</v>
      </c>
      <c r="H50" t="b">
        <f t="shared" si="2"/>
        <v>1</v>
      </c>
      <c r="I50" t="b">
        <f t="shared" si="3"/>
        <v>1</v>
      </c>
      <c r="J50" t="str">
        <f>_xlfn.XLOOKUP(C50,INVENTORY!A:A,INVENTORY!A:A,FALSE)</f>
        <v>0039008000806</v>
      </c>
      <c r="K50" t="b">
        <f t="shared" si="5"/>
        <v>1</v>
      </c>
      <c r="L50" s="4" t="b">
        <f t="shared" si="4"/>
        <v>1</v>
      </c>
      <c r="M50" t="b">
        <f>_xlfn.XLOOKUP(C50,INVENTORY!A:A,INVENTORY!C:C)*PURCHASE!D50=PURCHASE!E50</f>
        <v>1</v>
      </c>
    </row>
  </sheetData>
  <autoFilter ref="A2:F50" xr:uid="{BA914B64-655B-4669-A069-9DD2BE29342D}"/>
  <mergeCells count="1">
    <mergeCell ref="G1:H1"/>
  </mergeCells>
  <phoneticPr fontId="1" type="noConversion"/>
  <conditionalFormatting sqref="F3:F50">
    <cfRule type="cellIs" dxfId="14" priority="8" operator="equal">
      <formula>TRUE</formula>
    </cfRule>
  </conditionalFormatting>
  <conditionalFormatting sqref="G3:G50">
    <cfRule type="cellIs" dxfId="13" priority="7" operator="equal">
      <formula>FALSE</formula>
    </cfRule>
  </conditionalFormatting>
  <conditionalFormatting sqref="H3:H50">
    <cfRule type="cellIs" dxfId="12" priority="6" operator="equal">
      <formula>FALSE</formula>
    </cfRule>
  </conditionalFormatting>
  <conditionalFormatting sqref="I3:I50">
    <cfRule type="cellIs" dxfId="11" priority="5" operator="equal">
      <formula>FALSE</formula>
    </cfRule>
  </conditionalFormatting>
  <conditionalFormatting sqref="J3:J50">
    <cfRule type="cellIs" dxfId="10" priority="4" operator="equal">
      <formula>FALSE</formula>
    </cfRule>
  </conditionalFormatting>
  <conditionalFormatting sqref="K3:K50">
    <cfRule type="cellIs" dxfId="9" priority="3" operator="equal">
      <formula>FALSE</formula>
    </cfRule>
  </conditionalFormatting>
  <conditionalFormatting sqref="L3:L50">
    <cfRule type="cellIs" dxfId="8" priority="2" operator="equal">
      <formula>FALSE</formula>
    </cfRule>
  </conditionalFormatting>
  <conditionalFormatting sqref="M3:M50">
    <cfRule type="cellIs" dxfId="0" priority="1" operator="equal">
      <formula>FALSE</formula>
    </cfRule>
  </conditionalFormatting>
  <pageMargins left="0.7" right="0.7" top="0.75" bottom="0.75" header="0.3" footer="0.3"/>
  <ignoredErrors>
    <ignoredError sqref="C3:C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2026-02-09T23:37:59Z</dcterms:created>
  <dcterms:modified xsi:type="dcterms:W3CDTF">2026-02-10T09:30:24Z</dcterms:modified>
</cp:coreProperties>
</file>
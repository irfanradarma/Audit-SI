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3.xml" ContentType="application/vnd.openxmlformats-officedocument.drawing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4.xml" ContentType="application/vnd.openxmlformats-officedocument.drawing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5.xml" ContentType="application/vnd.openxmlformats-officedocument.drawing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6.xml" ContentType="application/vnd.openxmlformats-officedocument.drawing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IRVII/COBIT2019/risa-cobit2019/2 design-toolkit/"/>
    </mc:Choice>
  </mc:AlternateContent>
  <xr:revisionPtr revIDLastSave="82" documentId="13_ncr:1_{7471A080-5381-4157-985B-D75D1D9CEB34}" xr6:coauthVersionLast="47" xr6:coauthVersionMax="47" xr10:uidLastSave="{AF65E6A0-651A-4AE8-80E2-50C633CBA6FF}"/>
  <workbookProtection workbookAlgorithmName="SHA-512" workbookHashValue="vn05+Cz4tSvM7D1kuP5DewNSI1OWzZG3AchybcR/Ez23NvXbOz/7GnzIsLkaycaablxqJYc0KApng1vIFoxMeQ==" workbookSaltValue="xyUTazf2TVOmCsB4Y/UFRQ==" workbookSpinCount="100000" lockStructure="1"/>
  <bookViews>
    <workbookView xWindow="-108" yWindow="-108" windowWidth="23256" windowHeight="12456" tabRatio="824" firstSheet="4" activeTab="4" xr2:uid="{21D6200F-DB24-4846-89A4-2FC6C1C2A2F7}"/>
  </bookViews>
  <sheets>
    <sheet name="Instructions" sheetId="56" r:id="rId1"/>
    <sheet name="Canvas" sheetId="2" r:id="rId2"/>
    <sheet name="DF1" sheetId="42" r:id="rId3"/>
    <sheet name="DF1map" sheetId="10" state="hidden" r:id="rId4"/>
    <sheet name="DF2" sheetId="43" r:id="rId5"/>
    <sheet name="DF2map" sheetId="13" state="hidden" r:id="rId6"/>
    <sheet name="DF3" sheetId="51" r:id="rId7"/>
    <sheet name="DF3map" sheetId="16" state="hidden" r:id="rId8"/>
    <sheet name="DF4" sheetId="52" r:id="rId9"/>
    <sheet name="DF4map" sheetId="18" state="hidden" r:id="rId10"/>
    <sheet name="Step2 Summary" sheetId="47" r:id="rId11"/>
    <sheet name="DF5" sheetId="49" r:id="rId12"/>
    <sheet name="DF5map" sheetId="23" state="hidden" r:id="rId13"/>
    <sheet name="DF6" sheetId="50" r:id="rId14"/>
    <sheet name="DF6map" sheetId="26" state="hidden" r:id="rId15"/>
    <sheet name="DF7" sheetId="48" r:id="rId16"/>
    <sheet name="DF7map" sheetId="29" state="hidden" r:id="rId17"/>
    <sheet name="DF8" sheetId="45" r:id="rId18"/>
    <sheet name="DF8map" sheetId="30" state="hidden" r:id="rId19"/>
    <sheet name="DF9" sheetId="44" r:id="rId20"/>
    <sheet name="DF9map" sheetId="31" state="hidden" r:id="rId21"/>
    <sheet name="DF10" sheetId="35" r:id="rId22"/>
    <sheet name="DF10map" sheetId="32" state="hidden" r:id="rId23"/>
    <sheet name="Step 3 Summary" sheetId="55" r:id="rId24"/>
    <sheet name="Dashboard1" sheetId="53" state="hidden" r:id="rId25"/>
    <sheet name="Dashboard2" sheetId="54" state="hidden" r:id="rId26"/>
  </sheets>
  <externalReferences>
    <externalReference r:id="rId27"/>
    <externalReference r:id="rId28"/>
  </externalReferences>
  <definedNames>
    <definedName name="_020Spread_TRH_A">[1]PARAM!$B$2</definedName>
    <definedName name="_xlnm._FilterDatabase" localSheetId="9" hidden="1">DF4map!$A$1:$W$41</definedName>
    <definedName name="ddddddddddd" localSheetId="25">#REF!</definedName>
    <definedName name="ddddddddddd" localSheetId="2">#REF!</definedName>
    <definedName name="ddddddddddd" localSheetId="21">#REF!</definedName>
    <definedName name="ddddddddddd" localSheetId="22">#REF!</definedName>
    <definedName name="ddddddddddd" localSheetId="4">#REF!</definedName>
    <definedName name="ddddddddddd" localSheetId="5">#REF!</definedName>
    <definedName name="ddddddddddd" localSheetId="6">#REF!</definedName>
    <definedName name="ddddddddddd" localSheetId="7">#REF!</definedName>
    <definedName name="ddddddddddd" localSheetId="8">#REF!</definedName>
    <definedName name="ddddddddddd" localSheetId="9">#REF!</definedName>
    <definedName name="ddddddddddd" localSheetId="11">#REF!</definedName>
    <definedName name="ddddddddddd" localSheetId="12">#REF!</definedName>
    <definedName name="ddddddddddd" localSheetId="13">#REF!</definedName>
    <definedName name="ddddddddddd" localSheetId="14">#REF!</definedName>
    <definedName name="ddddddddddd" localSheetId="15">#REF!</definedName>
    <definedName name="ddddddddddd" localSheetId="16">#REF!</definedName>
    <definedName name="ddddddddddd" localSheetId="17">#REF!</definedName>
    <definedName name="ddddddddddd" localSheetId="18">#REF!</definedName>
    <definedName name="ddddddddddd" localSheetId="19">#REF!</definedName>
    <definedName name="ddddddddddd" localSheetId="20">#REF!</definedName>
    <definedName name="ddddddddddd">#REF!</definedName>
    <definedName name="NTopProcesses" localSheetId="25">#REF!</definedName>
    <definedName name="NTopProcesses" localSheetId="2">#REF!</definedName>
    <definedName name="NTopProcesses" localSheetId="21">#REF!</definedName>
    <definedName name="NTopProcesses" localSheetId="22">#REF!</definedName>
    <definedName name="NTopProcesses" localSheetId="4">#REF!</definedName>
    <definedName name="NTopProcesses" localSheetId="6">#REF!</definedName>
    <definedName name="NTopProcesses" localSheetId="8">#REF!</definedName>
    <definedName name="NTopProcesses" localSheetId="11">#REF!</definedName>
    <definedName name="NTopProcesses" localSheetId="12">#REF!</definedName>
    <definedName name="NTopProcesses" localSheetId="13">#REF!</definedName>
    <definedName name="NTopProcesses" localSheetId="14">#REF!</definedName>
    <definedName name="NTopProcesses" localSheetId="15">#REF!</definedName>
    <definedName name="NTopProcesses" localSheetId="16">#REF!</definedName>
    <definedName name="NTopProcesses" localSheetId="17">#REF!</definedName>
    <definedName name="NTopProcesses" localSheetId="18">#REF!</definedName>
    <definedName name="NTopProcesses" localSheetId="19">#REF!</definedName>
    <definedName name="NTopProcesses" localSheetId="20">#REF!</definedName>
    <definedName name="NTopProcesses">#REF!</definedName>
    <definedName name="_xlnm.Print_Area" localSheetId="1">Canvas!$A$1:$Y$45</definedName>
    <definedName name="_xlnm.Print_Area" localSheetId="24">Dashboard1!$A$1:$AM$61</definedName>
    <definedName name="_xlnm.Print_Area" localSheetId="25">Dashboard2!$A$1:$AP$126</definedName>
    <definedName name="_xlnm.Print_Area" localSheetId="2">'DF1'!$A$1:$S$61</definedName>
    <definedName name="_xlnm.Print_Area" localSheetId="21">'DF10'!$A$1:$P$61</definedName>
    <definedName name="_xlnm.Print_Area" localSheetId="22">DF10map!$A$1:$D$41</definedName>
    <definedName name="_xlnm.Print_Area" localSheetId="3">DF1map!$A$1:$E$41</definedName>
    <definedName name="_xlnm.Print_Area" localSheetId="4">'DF2'!$A$1:$S$70</definedName>
    <definedName name="_xlnm.Print_Area" localSheetId="5">DF2map!$A$1:$AP$50</definedName>
    <definedName name="_xlnm.Print_Area" localSheetId="6">'DF3'!$A$1:$V$74</definedName>
    <definedName name="_xlnm.Print_Area" localSheetId="7">DF3map!$A$1:$T$42</definedName>
    <definedName name="_xlnm.Print_Area" localSheetId="8">'DF4'!$A$1:$U$70</definedName>
    <definedName name="_xlnm.Print_Area" localSheetId="9">DF4map!$A$1:$W$31</definedName>
    <definedName name="_xlnm.Print_Area" localSheetId="11">'DF5'!$A$2:$N$69</definedName>
    <definedName name="_xlnm.Print_Area" localSheetId="12">DF5map!$A$1:$C$41</definedName>
    <definedName name="_xlnm.Print_Area" localSheetId="13">'DF6'!$A$1:$P$69</definedName>
    <definedName name="_xlnm.Print_Area" localSheetId="14">DF6map!$A$1:$D$41</definedName>
    <definedName name="_xlnm.Print_Area" localSheetId="16">DF7map!$A$1:$E$41</definedName>
    <definedName name="_xlnm.Print_Area" localSheetId="17">'DF8'!$A$1:$P$71</definedName>
    <definedName name="_xlnm.Print_Area" localSheetId="18">DF8map!$A$1:$D$41</definedName>
    <definedName name="_xlnm.Print_Area" localSheetId="19">'DF9'!$A$1:$P$67</definedName>
    <definedName name="_xlnm.Print_Area" localSheetId="20">DF9map!$A$1:$D$41</definedName>
    <definedName name="_xlnm.Print_Area" localSheetId="0">Instructions!$A$1:$D$33</definedName>
    <definedName name="_xlnm.Print_Titles" localSheetId="1">Canvas!$1:$5</definedName>
    <definedName name="_xlnm.Print_Titles" localSheetId="2">'DF1'!$1:$2</definedName>
    <definedName name="_xlnm.Print_Titles" localSheetId="21">'DF10'!$1:$2</definedName>
    <definedName name="_xlnm.Print_Titles" localSheetId="22">DF10map!$1:$1</definedName>
    <definedName name="_xlnm.Print_Titles" localSheetId="3">DF1map!$1:$1</definedName>
    <definedName name="_xlnm.Print_Titles" localSheetId="4">'DF2'!$1:$2</definedName>
    <definedName name="_xlnm.Print_Titles" localSheetId="6">'DF3'!$1:$2</definedName>
    <definedName name="_xlnm.Print_Titles" localSheetId="7">DF3map!$1:$2</definedName>
    <definedName name="_xlnm.Print_Titles" localSheetId="8">'DF4'!$1:$2</definedName>
    <definedName name="_xlnm.Print_Titles" localSheetId="9">DF4map!$1:$1</definedName>
    <definedName name="_xlnm.Print_Titles" localSheetId="11">'DF5'!$1:$2</definedName>
    <definedName name="_xlnm.Print_Titles" localSheetId="12">DF5map!$1:$1</definedName>
    <definedName name="_xlnm.Print_Titles" localSheetId="13">'DF6'!$1:$2</definedName>
    <definedName name="_xlnm.Print_Titles" localSheetId="14">DF6map!$1:$1</definedName>
    <definedName name="_xlnm.Print_Titles" localSheetId="15">'DF7'!$1:$2</definedName>
    <definedName name="_xlnm.Print_Titles" localSheetId="16">DF7map!$1:$1</definedName>
    <definedName name="_xlnm.Print_Titles" localSheetId="17">'DF8'!$1:$2</definedName>
    <definedName name="_xlnm.Print_Titles" localSheetId="18">DF8map!$1:$1</definedName>
    <definedName name="_xlnm.Print_Titles" localSheetId="19">'DF9'!$1:$2</definedName>
    <definedName name="_xlnm.Print_Titles" localSheetId="20">DF9map!$1:$1</definedName>
    <definedName name="_xlnm.Print_Titles" localSheetId="0">Instructions!$1:$2</definedName>
    <definedName name="Process_Weight_Difference_Factor" localSheetId="25">#REF!</definedName>
    <definedName name="Process_Weight_Difference_Factor" localSheetId="2">#REF!</definedName>
    <definedName name="Process_Weight_Difference_Factor" localSheetId="21">#REF!</definedName>
    <definedName name="Process_Weight_Difference_Factor" localSheetId="22">#REF!</definedName>
    <definedName name="Process_Weight_Difference_Factor" localSheetId="4">#REF!</definedName>
    <definedName name="Process_Weight_Difference_Factor" localSheetId="5">#REF!</definedName>
    <definedName name="Process_Weight_Difference_Factor" localSheetId="6">#REF!</definedName>
    <definedName name="Process_Weight_Difference_Factor" localSheetId="7">#REF!</definedName>
    <definedName name="Process_Weight_Difference_Factor" localSheetId="8">#REF!</definedName>
    <definedName name="Process_Weight_Difference_Factor" localSheetId="9">#REF!</definedName>
    <definedName name="Process_Weight_Difference_Factor" localSheetId="11">#REF!</definedName>
    <definedName name="Process_Weight_Difference_Factor" localSheetId="12">#REF!</definedName>
    <definedName name="Process_Weight_Difference_Factor" localSheetId="13">#REF!</definedName>
    <definedName name="Process_Weight_Difference_Factor" localSheetId="14">#REF!</definedName>
    <definedName name="Process_Weight_Difference_Factor" localSheetId="15">#REF!</definedName>
    <definedName name="Process_Weight_Difference_Factor" localSheetId="16">#REF!</definedName>
    <definedName name="Process_Weight_Difference_Factor" localSheetId="17">#REF!</definedName>
    <definedName name="Process_Weight_Difference_Factor" localSheetId="18">#REF!</definedName>
    <definedName name="Process_Weight_Difference_Factor" localSheetId="19">#REF!</definedName>
    <definedName name="Process_Weight_Difference_Factor" localSheetId="20">#REF!</definedName>
    <definedName name="Process_Weight_Difference_Factor">#REF!</definedName>
    <definedName name="Spread_TRH_2">[2]PARAM!$B$5</definedName>
    <definedName name="Spread_TRH_4A">[2]PARAM!$B$6</definedName>
    <definedName name="Spread_TRH_A">[2]PARAM!$B$2</definedName>
    <definedName name="Spread_TRH_B">[2]PARAM!$B$3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42" l="1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22" i="42"/>
  <c r="C31" i="52" l="1" a="1"/>
  <c r="C31" i="52" s="1"/>
  <c r="B31" i="52" a="1"/>
  <c r="B31" i="52" s="1"/>
  <c r="J24" i="52"/>
  <c r="J23" i="52"/>
  <c r="J25" i="52" s="1"/>
  <c r="C35" i="51" a="1"/>
  <c r="C35" i="51" s="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6" i="51"/>
  <c r="C30" i="50" a="1"/>
  <c r="C30" i="50" s="1"/>
  <c r="B30" i="50" a="1"/>
  <c r="B30" i="50" s="1"/>
  <c r="C30" i="49" a="1"/>
  <c r="C30" i="49" s="1"/>
  <c r="B30" i="49" a="1"/>
  <c r="B30" i="49" s="1"/>
  <c r="C32" i="48" a="1"/>
  <c r="C35" i="48" s="1"/>
  <c r="B32" i="48" a="1"/>
  <c r="B32" i="48" s="1"/>
  <c r="B12" i="48"/>
  <c r="B11" i="48"/>
  <c r="B13" i="48" s="1"/>
  <c r="C32" i="45" a="1"/>
  <c r="C33" i="45" s="1"/>
  <c r="B32" i="45" a="1"/>
  <c r="B32" i="45" s="1"/>
  <c r="C28" i="44" a="1"/>
  <c r="C28" i="44" s="1"/>
  <c r="B28" i="44" a="1"/>
  <c r="B28" i="44" s="1"/>
  <c r="D30" i="50" l="1"/>
  <c r="D28" i="44"/>
  <c r="D30" i="49"/>
  <c r="I6" i="2" s="1"/>
  <c r="D31" i="52"/>
  <c r="E6" i="2" s="1"/>
  <c r="B35" i="51" a="1"/>
  <c r="B35" i="51" s="1"/>
  <c r="C70" i="52"/>
  <c r="C66" i="52"/>
  <c r="C62" i="52"/>
  <c r="C58" i="52"/>
  <c r="C54" i="52"/>
  <c r="C50" i="52"/>
  <c r="C46" i="52"/>
  <c r="C42" i="52"/>
  <c r="C38" i="52"/>
  <c r="C34" i="52"/>
  <c r="C69" i="52"/>
  <c r="C65" i="52"/>
  <c r="C61" i="52"/>
  <c r="C57" i="52"/>
  <c r="C53" i="52"/>
  <c r="C49" i="52"/>
  <c r="C45" i="52"/>
  <c r="C41" i="52"/>
  <c r="C37" i="52"/>
  <c r="C33" i="52"/>
  <c r="C68" i="52"/>
  <c r="C64" i="52"/>
  <c r="C60" i="52"/>
  <c r="C56" i="52"/>
  <c r="C52" i="52"/>
  <c r="C48" i="52"/>
  <c r="C44" i="52"/>
  <c r="C40" i="52"/>
  <c r="C36" i="52"/>
  <c r="C32" i="52"/>
  <c r="C67" i="52"/>
  <c r="C63" i="52"/>
  <c r="C59" i="52"/>
  <c r="C55" i="52"/>
  <c r="C51" i="52"/>
  <c r="C47" i="52"/>
  <c r="C43" i="52"/>
  <c r="C39" i="52"/>
  <c r="C35" i="52"/>
  <c r="B70" i="52"/>
  <c r="B62" i="52"/>
  <c r="B54" i="52"/>
  <c r="B50" i="52"/>
  <c r="B42" i="52"/>
  <c r="B38" i="52"/>
  <c r="B69" i="52"/>
  <c r="B65" i="52"/>
  <c r="B61" i="52"/>
  <c r="B57" i="52"/>
  <c r="B53" i="52"/>
  <c r="B49" i="52"/>
  <c r="B45" i="52"/>
  <c r="B41" i="52"/>
  <c r="B33" i="52"/>
  <c r="B68" i="52"/>
  <c r="B64" i="52"/>
  <c r="B60" i="52"/>
  <c r="B56" i="52"/>
  <c r="B52" i="52"/>
  <c r="B48" i="52"/>
  <c r="B44" i="52"/>
  <c r="B40" i="52"/>
  <c r="B36" i="52"/>
  <c r="B32" i="52"/>
  <c r="B66" i="52"/>
  <c r="B58" i="52"/>
  <c r="B46" i="52"/>
  <c r="B34" i="52"/>
  <c r="B37" i="52"/>
  <c r="B67" i="52"/>
  <c r="B63" i="52"/>
  <c r="B59" i="52"/>
  <c r="B55" i="52"/>
  <c r="B51" i="52"/>
  <c r="B47" i="52"/>
  <c r="B43" i="52"/>
  <c r="B39" i="52"/>
  <c r="B35" i="52"/>
  <c r="G27" i="51"/>
  <c r="G26" i="51"/>
  <c r="G28" i="51" s="1"/>
  <c r="C74" i="51"/>
  <c r="C66" i="51"/>
  <c r="C58" i="51"/>
  <c r="C54" i="51"/>
  <c r="C46" i="51"/>
  <c r="C42" i="51"/>
  <c r="C73" i="51"/>
  <c r="C69" i="51"/>
  <c r="C65" i="51"/>
  <c r="C61" i="51"/>
  <c r="C57" i="51"/>
  <c r="C53" i="51"/>
  <c r="C49" i="51"/>
  <c r="C41" i="51"/>
  <c r="C37" i="51"/>
  <c r="C72" i="51"/>
  <c r="C68" i="51"/>
  <c r="C64" i="51"/>
  <c r="C60" i="51"/>
  <c r="C56" i="51"/>
  <c r="C52" i="51"/>
  <c r="C48" i="51"/>
  <c r="C44" i="51"/>
  <c r="C40" i="51"/>
  <c r="C36" i="51"/>
  <c r="C70" i="51"/>
  <c r="C62" i="51"/>
  <c r="C50" i="51"/>
  <c r="C38" i="51"/>
  <c r="C45" i="51"/>
  <c r="C71" i="51"/>
  <c r="C67" i="51"/>
  <c r="C63" i="51"/>
  <c r="C59" i="51"/>
  <c r="C55" i="51"/>
  <c r="C51" i="51"/>
  <c r="C47" i="51"/>
  <c r="C43" i="51"/>
  <c r="C39" i="51"/>
  <c r="C69" i="50"/>
  <c r="C65" i="50"/>
  <c r="C61" i="50"/>
  <c r="C57" i="50"/>
  <c r="C53" i="50"/>
  <c r="C49" i="50"/>
  <c r="C45" i="50"/>
  <c r="C41" i="50"/>
  <c r="C37" i="50"/>
  <c r="C33" i="50"/>
  <c r="C68" i="50"/>
  <c r="C64" i="50"/>
  <c r="C60" i="50"/>
  <c r="C56" i="50"/>
  <c r="C52" i="50"/>
  <c r="C48" i="50"/>
  <c r="C44" i="50"/>
  <c r="C40" i="50"/>
  <c r="C36" i="50"/>
  <c r="C32" i="50"/>
  <c r="C67" i="50"/>
  <c r="C63" i="50"/>
  <c r="C59" i="50"/>
  <c r="C55" i="50"/>
  <c r="C51" i="50"/>
  <c r="C47" i="50"/>
  <c r="C43" i="50"/>
  <c r="C39" i="50"/>
  <c r="C35" i="50"/>
  <c r="C31" i="50"/>
  <c r="C66" i="50"/>
  <c r="C62" i="50"/>
  <c r="C58" i="50"/>
  <c r="C54" i="50"/>
  <c r="C50" i="50"/>
  <c r="C46" i="50"/>
  <c r="C42" i="50"/>
  <c r="C38" i="50"/>
  <c r="C34" i="50"/>
  <c r="B69" i="50"/>
  <c r="B65" i="50"/>
  <c r="B61" i="50"/>
  <c r="B57" i="50"/>
  <c r="B53" i="50"/>
  <c r="B49" i="50"/>
  <c r="B45" i="50"/>
  <c r="B41" i="50"/>
  <c r="B37" i="50"/>
  <c r="B33" i="50"/>
  <c r="B68" i="50"/>
  <c r="B64" i="50"/>
  <c r="B60" i="50"/>
  <c r="B56" i="50"/>
  <c r="B52" i="50"/>
  <c r="B48" i="50"/>
  <c r="B44" i="50"/>
  <c r="B40" i="50"/>
  <c r="B36" i="50"/>
  <c r="B32" i="50"/>
  <c r="B67" i="50"/>
  <c r="B63" i="50"/>
  <c r="B59" i="50"/>
  <c r="B55" i="50"/>
  <c r="B51" i="50"/>
  <c r="B47" i="50"/>
  <c r="B43" i="50"/>
  <c r="B39" i="50"/>
  <c r="B35" i="50"/>
  <c r="B31" i="50"/>
  <c r="B66" i="50"/>
  <c r="B62" i="50"/>
  <c r="B58" i="50"/>
  <c r="B54" i="50"/>
  <c r="B50" i="50"/>
  <c r="B46" i="50"/>
  <c r="B42" i="50"/>
  <c r="B38" i="50"/>
  <c r="B34" i="50"/>
  <c r="C69" i="49"/>
  <c r="C65" i="49"/>
  <c r="C61" i="49"/>
  <c r="C57" i="49"/>
  <c r="C53" i="49"/>
  <c r="C49" i="49"/>
  <c r="C45" i="49"/>
  <c r="C41" i="49"/>
  <c r="C37" i="49"/>
  <c r="C33" i="49"/>
  <c r="C68" i="49"/>
  <c r="C64" i="49"/>
  <c r="C60" i="49"/>
  <c r="C56" i="49"/>
  <c r="C52" i="49"/>
  <c r="C48" i="49"/>
  <c r="C44" i="49"/>
  <c r="C40" i="49"/>
  <c r="C36" i="49"/>
  <c r="C32" i="49"/>
  <c r="C67" i="49"/>
  <c r="C63" i="49"/>
  <c r="C59" i="49"/>
  <c r="C55" i="49"/>
  <c r="C51" i="49"/>
  <c r="C47" i="49"/>
  <c r="C43" i="49"/>
  <c r="C39" i="49"/>
  <c r="C35" i="49"/>
  <c r="C31" i="49"/>
  <c r="C66" i="49"/>
  <c r="C62" i="49"/>
  <c r="C58" i="49"/>
  <c r="C54" i="49"/>
  <c r="C50" i="49"/>
  <c r="C46" i="49"/>
  <c r="C42" i="49"/>
  <c r="C38" i="49"/>
  <c r="C34" i="49"/>
  <c r="B69" i="49"/>
  <c r="B65" i="49"/>
  <c r="B61" i="49"/>
  <c r="B57" i="49"/>
  <c r="B53" i="49"/>
  <c r="B49" i="49"/>
  <c r="B45" i="49"/>
  <c r="B41" i="49"/>
  <c r="B37" i="49"/>
  <c r="B33" i="49"/>
  <c r="B68" i="49"/>
  <c r="B64" i="49"/>
  <c r="B60" i="49"/>
  <c r="B56" i="49"/>
  <c r="B52" i="49"/>
  <c r="B48" i="49"/>
  <c r="B44" i="49"/>
  <c r="B40" i="49"/>
  <c r="B36" i="49"/>
  <c r="B32" i="49"/>
  <c r="B67" i="49"/>
  <c r="B63" i="49"/>
  <c r="B59" i="49"/>
  <c r="B55" i="49"/>
  <c r="B51" i="49"/>
  <c r="B47" i="49"/>
  <c r="B43" i="49"/>
  <c r="B39" i="49"/>
  <c r="B35" i="49"/>
  <c r="B31" i="49"/>
  <c r="B66" i="49"/>
  <c r="B62" i="49"/>
  <c r="B58" i="49"/>
  <c r="B54" i="49"/>
  <c r="B50" i="49"/>
  <c r="B46" i="49"/>
  <c r="B42" i="49"/>
  <c r="B38" i="49"/>
  <c r="B34" i="49"/>
  <c r="C70" i="48"/>
  <c r="C66" i="48"/>
  <c r="C62" i="48"/>
  <c r="C58" i="48"/>
  <c r="C54" i="48"/>
  <c r="C50" i="48"/>
  <c r="C46" i="48"/>
  <c r="C42" i="48"/>
  <c r="C38" i="48"/>
  <c r="C34" i="48"/>
  <c r="C69" i="48"/>
  <c r="C65" i="48"/>
  <c r="C61" i="48"/>
  <c r="C57" i="48"/>
  <c r="C53" i="48"/>
  <c r="C49" i="48"/>
  <c r="C45" i="48"/>
  <c r="C41" i="48"/>
  <c r="C37" i="48"/>
  <c r="C33" i="48"/>
  <c r="C68" i="48"/>
  <c r="C64" i="48"/>
  <c r="C60" i="48"/>
  <c r="C56" i="48"/>
  <c r="C52" i="48"/>
  <c r="C48" i="48"/>
  <c r="C44" i="48"/>
  <c r="C40" i="48"/>
  <c r="C36" i="48"/>
  <c r="C32" i="48"/>
  <c r="D32" i="48" s="1"/>
  <c r="C71" i="48"/>
  <c r="C67" i="48"/>
  <c r="C63" i="48"/>
  <c r="C59" i="48"/>
  <c r="C55" i="48"/>
  <c r="C51" i="48"/>
  <c r="C47" i="48"/>
  <c r="C43" i="48"/>
  <c r="C39" i="48"/>
  <c r="B71" i="48"/>
  <c r="B63" i="48"/>
  <c r="B59" i="48"/>
  <c r="B51" i="48"/>
  <c r="B47" i="48"/>
  <c r="B43" i="48"/>
  <c r="B35" i="48"/>
  <c r="D35" i="48" s="1"/>
  <c r="B70" i="48"/>
  <c r="B62" i="48"/>
  <c r="B58" i="48"/>
  <c r="B50" i="48"/>
  <c r="B46" i="48"/>
  <c r="B42" i="48"/>
  <c r="B34" i="48"/>
  <c r="B69" i="48"/>
  <c r="B65" i="48"/>
  <c r="B61" i="48"/>
  <c r="B57" i="48"/>
  <c r="B53" i="48"/>
  <c r="B49" i="48"/>
  <c r="B45" i="48"/>
  <c r="B41" i="48"/>
  <c r="B37" i="48"/>
  <c r="B33" i="48"/>
  <c r="B67" i="48"/>
  <c r="D67" i="48" s="1"/>
  <c r="B55" i="48"/>
  <c r="B39" i="48"/>
  <c r="B66" i="48"/>
  <c r="B54" i="48"/>
  <c r="B38" i="48"/>
  <c r="B68" i="48"/>
  <c r="B64" i="48"/>
  <c r="B60" i="48"/>
  <c r="B56" i="48"/>
  <c r="B52" i="48"/>
  <c r="B48" i="48"/>
  <c r="B44" i="48"/>
  <c r="B40" i="48"/>
  <c r="B36" i="48"/>
  <c r="C68" i="45"/>
  <c r="C64" i="45"/>
  <c r="C60" i="45"/>
  <c r="C56" i="45"/>
  <c r="C52" i="45"/>
  <c r="C48" i="45"/>
  <c r="C44" i="45"/>
  <c r="C40" i="45"/>
  <c r="C36" i="45"/>
  <c r="C32" i="45"/>
  <c r="C71" i="45"/>
  <c r="C67" i="45"/>
  <c r="C63" i="45"/>
  <c r="C59" i="45"/>
  <c r="C55" i="45"/>
  <c r="C51" i="45"/>
  <c r="C47" i="45"/>
  <c r="C43" i="45"/>
  <c r="C39" i="45"/>
  <c r="C35" i="45"/>
  <c r="C70" i="45"/>
  <c r="C66" i="45"/>
  <c r="C62" i="45"/>
  <c r="C58" i="45"/>
  <c r="C54" i="45"/>
  <c r="C50" i="45"/>
  <c r="C46" i="45"/>
  <c r="C42" i="45"/>
  <c r="C38" i="45"/>
  <c r="C34" i="45"/>
  <c r="C69" i="45"/>
  <c r="C65" i="45"/>
  <c r="C61" i="45"/>
  <c r="C57" i="45"/>
  <c r="C53" i="45"/>
  <c r="C49" i="45"/>
  <c r="C45" i="45"/>
  <c r="C41" i="45"/>
  <c r="C37" i="45"/>
  <c r="B67" i="45"/>
  <c r="B59" i="45"/>
  <c r="B51" i="45"/>
  <c r="B43" i="45"/>
  <c r="B35" i="45"/>
  <c r="D35" i="45" s="1"/>
  <c r="B66" i="45"/>
  <c r="B58" i="45"/>
  <c r="B50" i="45"/>
  <c r="B42" i="45"/>
  <c r="B38" i="45"/>
  <c r="B69" i="45"/>
  <c r="B65" i="45"/>
  <c r="B61" i="45"/>
  <c r="B57" i="45"/>
  <c r="B53" i="45"/>
  <c r="B49" i="45"/>
  <c r="B45" i="45"/>
  <c r="B41" i="45"/>
  <c r="B37" i="45"/>
  <c r="B33" i="45"/>
  <c r="B71" i="45"/>
  <c r="B63" i="45"/>
  <c r="B55" i="45"/>
  <c r="B47" i="45"/>
  <c r="B39" i="45"/>
  <c r="B70" i="45"/>
  <c r="B62" i="45"/>
  <c r="B54" i="45"/>
  <c r="B46" i="45"/>
  <c r="B34" i="45"/>
  <c r="B68" i="45"/>
  <c r="B64" i="45"/>
  <c r="B60" i="45"/>
  <c r="B56" i="45"/>
  <c r="B52" i="45"/>
  <c r="B48" i="45"/>
  <c r="B44" i="45"/>
  <c r="B40" i="45"/>
  <c r="B36" i="45"/>
  <c r="C66" i="44"/>
  <c r="C62" i="44"/>
  <c r="C58" i="44"/>
  <c r="C54" i="44"/>
  <c r="C50" i="44"/>
  <c r="C46" i="44"/>
  <c r="C42" i="44"/>
  <c r="C38" i="44"/>
  <c r="C34" i="44"/>
  <c r="C30" i="44"/>
  <c r="C67" i="44"/>
  <c r="C63" i="44"/>
  <c r="C59" i="44"/>
  <c r="C55" i="44"/>
  <c r="C51" i="44"/>
  <c r="C47" i="44"/>
  <c r="C43" i="44"/>
  <c r="C39" i="44"/>
  <c r="C35" i="44"/>
  <c r="C31" i="44"/>
  <c r="C65" i="44"/>
  <c r="C61" i="44"/>
  <c r="C57" i="44"/>
  <c r="C53" i="44"/>
  <c r="C49" i="44"/>
  <c r="C45" i="44"/>
  <c r="C41" i="44"/>
  <c r="C37" i="44"/>
  <c r="C33" i="44"/>
  <c r="C29" i="44"/>
  <c r="C64" i="44"/>
  <c r="C60" i="44"/>
  <c r="C56" i="44"/>
  <c r="C52" i="44"/>
  <c r="C48" i="44"/>
  <c r="C44" i="44"/>
  <c r="C40" i="44"/>
  <c r="C36" i="44"/>
  <c r="C32" i="44"/>
  <c r="B67" i="44"/>
  <c r="B59" i="44"/>
  <c r="B55" i="44"/>
  <c r="B47" i="44"/>
  <c r="B43" i="44"/>
  <c r="B35" i="44"/>
  <c r="B31" i="44"/>
  <c r="B66" i="44"/>
  <c r="B62" i="44"/>
  <c r="B58" i="44"/>
  <c r="B54" i="44"/>
  <c r="B50" i="44"/>
  <c r="B46" i="44"/>
  <c r="B42" i="44"/>
  <c r="B38" i="44"/>
  <c r="B34" i="44"/>
  <c r="B30" i="44"/>
  <c r="B65" i="44"/>
  <c r="B61" i="44"/>
  <c r="B57" i="44"/>
  <c r="B53" i="44"/>
  <c r="B49" i="44"/>
  <c r="B45" i="44"/>
  <c r="B41" i="44"/>
  <c r="B37" i="44"/>
  <c r="B33" i="44"/>
  <c r="B29" i="44"/>
  <c r="B63" i="44"/>
  <c r="B51" i="44"/>
  <c r="B39" i="44"/>
  <c r="B64" i="44"/>
  <c r="B60" i="44"/>
  <c r="B56" i="44"/>
  <c r="B52" i="44"/>
  <c r="B48" i="44"/>
  <c r="B44" i="44"/>
  <c r="B40" i="44"/>
  <c r="B36" i="44"/>
  <c r="B32" i="44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F21" i="43"/>
  <c r="F20" i="43"/>
  <c r="F22" i="43" s="1"/>
  <c r="E13" i="42"/>
  <c r="E12" i="42"/>
  <c r="E14" i="42" s="1"/>
  <c r="C22" i="35" a="1"/>
  <c r="C22" i="35" s="1"/>
  <c r="B22" i="35" a="1"/>
  <c r="B22" i="35" s="1"/>
  <c r="D67" i="45" l="1"/>
  <c r="D42" i="48"/>
  <c r="D46" i="48"/>
  <c r="D55" i="44"/>
  <c r="D42" i="45"/>
  <c r="D37" i="44"/>
  <c r="M15" i="2" s="1"/>
  <c r="D57" i="44"/>
  <c r="D33" i="44"/>
  <c r="M11" i="2" s="1"/>
  <c r="D41" i="44"/>
  <c r="M19" i="2" s="1"/>
  <c r="D53" i="44"/>
  <c r="M31" i="2" s="1"/>
  <c r="D42" i="52"/>
  <c r="E17" i="2" s="1"/>
  <c r="D46" i="52"/>
  <c r="D38" i="52"/>
  <c r="E13" i="2" s="1"/>
  <c r="D34" i="44"/>
  <c r="M12" i="2" s="1"/>
  <c r="D50" i="44"/>
  <c r="M28" i="2" s="1"/>
  <c r="D66" i="44"/>
  <c r="M44" i="2" s="1"/>
  <c r="D70" i="48"/>
  <c r="K44" i="2" s="1"/>
  <c r="D36" i="52"/>
  <c r="E11" i="2" s="1"/>
  <c r="D52" i="52"/>
  <c r="E27" i="2" s="1"/>
  <c r="D44" i="45"/>
  <c r="L18" i="2" s="1"/>
  <c r="D60" i="45"/>
  <c r="L34" i="2" s="1"/>
  <c r="D46" i="45"/>
  <c r="L20" i="2" s="1"/>
  <c r="D39" i="45"/>
  <c r="L13" i="2" s="1"/>
  <c r="D71" i="45"/>
  <c r="L45" i="2" s="1"/>
  <c r="D36" i="48"/>
  <c r="K10" i="2" s="1"/>
  <c r="D52" i="48"/>
  <c r="K26" i="2" s="1"/>
  <c r="D68" i="48"/>
  <c r="K42" i="2" s="1"/>
  <c r="D54" i="52"/>
  <c r="E29" i="2" s="1"/>
  <c r="D40" i="44"/>
  <c r="M18" i="2" s="1"/>
  <c r="D56" i="44"/>
  <c r="M34" i="2" s="1"/>
  <c r="D43" i="44"/>
  <c r="M21" i="2" s="1"/>
  <c r="D53" i="45"/>
  <c r="L27" i="2" s="1"/>
  <c r="D69" i="45"/>
  <c r="L43" i="2" s="1"/>
  <c r="D54" i="48"/>
  <c r="D45" i="48"/>
  <c r="K19" i="2" s="1"/>
  <c r="D61" i="48"/>
  <c r="K35" i="2" s="1"/>
  <c r="D42" i="50"/>
  <c r="J18" i="2" s="1"/>
  <c r="D58" i="50"/>
  <c r="J34" i="2" s="1"/>
  <c r="D35" i="50"/>
  <c r="J11" i="2" s="1"/>
  <c r="D51" i="50"/>
  <c r="J27" i="2" s="1"/>
  <c r="D67" i="50"/>
  <c r="D44" i="50"/>
  <c r="J20" i="2" s="1"/>
  <c r="D60" i="50"/>
  <c r="J36" i="2" s="1"/>
  <c r="D37" i="50"/>
  <c r="J13" i="2" s="1"/>
  <c r="D53" i="50"/>
  <c r="J29" i="2" s="1"/>
  <c r="D69" i="50"/>
  <c r="J45" i="2" s="1"/>
  <c r="D51" i="44"/>
  <c r="M29" i="2" s="1"/>
  <c r="D67" i="44"/>
  <c r="M45" i="2" s="1"/>
  <c r="D36" i="45"/>
  <c r="L10" i="2" s="1"/>
  <c r="D52" i="45"/>
  <c r="L26" i="2" s="1"/>
  <c r="D68" i="45"/>
  <c r="L42" i="2" s="1"/>
  <c r="D47" i="48"/>
  <c r="K21" i="2" s="1"/>
  <c r="D44" i="48"/>
  <c r="K18" i="2" s="1"/>
  <c r="D60" i="48"/>
  <c r="K34" i="2" s="1"/>
  <c r="D62" i="48"/>
  <c r="K36" i="2" s="1"/>
  <c r="D71" i="48"/>
  <c r="K45" i="2" s="1"/>
  <c r="D34" i="49"/>
  <c r="I10" i="2" s="1"/>
  <c r="D50" i="49"/>
  <c r="I26" i="2" s="1"/>
  <c r="D66" i="49"/>
  <c r="I42" i="2" s="1"/>
  <c r="D43" i="49"/>
  <c r="I19" i="2" s="1"/>
  <c r="D59" i="49"/>
  <c r="I35" i="2" s="1"/>
  <c r="D43" i="52"/>
  <c r="E18" i="2" s="1"/>
  <c r="D59" i="52"/>
  <c r="E34" i="2" s="1"/>
  <c r="D45" i="52"/>
  <c r="E20" i="2" s="1"/>
  <c r="D61" i="52"/>
  <c r="E36" i="2" s="1"/>
  <c r="D36" i="49"/>
  <c r="I12" i="2" s="1"/>
  <c r="D52" i="49"/>
  <c r="I28" i="2" s="1"/>
  <c r="D68" i="49"/>
  <c r="I44" i="2" s="1"/>
  <c r="D45" i="49"/>
  <c r="I21" i="2" s="1"/>
  <c r="D61" i="49"/>
  <c r="I37" i="2" s="1"/>
  <c r="D46" i="44"/>
  <c r="M24" i="2" s="1"/>
  <c r="D58" i="45"/>
  <c r="L32" i="2" s="1"/>
  <c r="D34" i="52"/>
  <c r="E9" i="2" s="1"/>
  <c r="D32" i="52"/>
  <c r="E7" i="2" s="1"/>
  <c r="D48" i="52"/>
  <c r="E23" i="2" s="1"/>
  <c r="D64" i="52"/>
  <c r="E39" i="2" s="1"/>
  <c r="D70" i="52"/>
  <c r="E45" i="2" s="1"/>
  <c r="D30" i="44"/>
  <c r="M8" i="2" s="1"/>
  <c r="D62" i="44"/>
  <c r="M40" i="2" s="1"/>
  <c r="D51" i="45"/>
  <c r="L25" i="2" s="1"/>
  <c r="D40" i="45"/>
  <c r="L14" i="2" s="1"/>
  <c r="D56" i="45"/>
  <c r="L30" i="2" s="1"/>
  <c r="D48" i="48"/>
  <c r="K22" i="2" s="1"/>
  <c r="D64" i="48"/>
  <c r="K38" i="2" s="1"/>
  <c r="D66" i="48"/>
  <c r="K40" i="2" s="1"/>
  <c r="D68" i="52"/>
  <c r="E43" i="2" s="1"/>
  <c r="D50" i="52"/>
  <c r="E25" i="2" s="1"/>
  <c r="D62" i="45"/>
  <c r="L36" i="2" s="1"/>
  <c r="D55" i="45"/>
  <c r="L29" i="2" s="1"/>
  <c r="D37" i="45"/>
  <c r="L11" i="2" s="1"/>
  <c r="D44" i="44"/>
  <c r="M22" i="2" s="1"/>
  <c r="D60" i="44"/>
  <c r="M38" i="2" s="1"/>
  <c r="D63" i="44"/>
  <c r="M41" i="2" s="1"/>
  <c r="D47" i="44"/>
  <c r="M25" i="2" s="1"/>
  <c r="D34" i="45"/>
  <c r="L8" i="2" s="1"/>
  <c r="D70" i="45"/>
  <c r="L44" i="2" s="1"/>
  <c r="D63" i="45"/>
  <c r="L37" i="2" s="1"/>
  <c r="D41" i="45"/>
  <c r="L15" i="2" s="1"/>
  <c r="D57" i="45"/>
  <c r="L31" i="2" s="1"/>
  <c r="D38" i="45"/>
  <c r="L12" i="2" s="1"/>
  <c r="D66" i="45"/>
  <c r="L40" i="2" s="1"/>
  <c r="D59" i="45"/>
  <c r="L33" i="2" s="1"/>
  <c r="D33" i="48"/>
  <c r="K7" i="2" s="1"/>
  <c r="D49" i="48"/>
  <c r="K23" i="2" s="1"/>
  <c r="D65" i="48"/>
  <c r="K39" i="2" s="1"/>
  <c r="D51" i="48"/>
  <c r="K25" i="2" s="1"/>
  <c r="D38" i="49"/>
  <c r="I14" i="2" s="1"/>
  <c r="D54" i="49"/>
  <c r="I30" i="2" s="1"/>
  <c r="D31" i="49"/>
  <c r="I7" i="2" s="1"/>
  <c r="D47" i="49"/>
  <c r="I23" i="2" s="1"/>
  <c r="D63" i="49"/>
  <c r="I39" i="2" s="1"/>
  <c r="D40" i="49"/>
  <c r="I16" i="2" s="1"/>
  <c r="D56" i="49"/>
  <c r="I32" i="2" s="1"/>
  <c r="D33" i="49"/>
  <c r="I9" i="2" s="1"/>
  <c r="D49" i="49"/>
  <c r="I25" i="2" s="1"/>
  <c r="D65" i="49"/>
  <c r="I41" i="2" s="1"/>
  <c r="D46" i="50"/>
  <c r="J22" i="2" s="1"/>
  <c r="D62" i="50"/>
  <c r="J38" i="2" s="1"/>
  <c r="D39" i="50"/>
  <c r="J15" i="2" s="1"/>
  <c r="D55" i="50"/>
  <c r="J31" i="2" s="1"/>
  <c r="D32" i="50"/>
  <c r="J8" i="2" s="1"/>
  <c r="D48" i="50"/>
  <c r="J24" i="2" s="1"/>
  <c r="D64" i="50"/>
  <c r="J40" i="2" s="1"/>
  <c r="D41" i="50"/>
  <c r="J17" i="2" s="1"/>
  <c r="D57" i="50"/>
  <c r="J33" i="2" s="1"/>
  <c r="D47" i="52"/>
  <c r="E22" i="2" s="1"/>
  <c r="D63" i="52"/>
  <c r="E38" i="2" s="1"/>
  <c r="D49" i="52"/>
  <c r="E24" i="2" s="1"/>
  <c r="D65" i="52"/>
  <c r="E40" i="2" s="1"/>
  <c r="D32" i="44"/>
  <c r="M10" i="2" s="1"/>
  <c r="D48" i="44"/>
  <c r="M26" i="2" s="1"/>
  <c r="D64" i="44"/>
  <c r="M42" i="2" s="1"/>
  <c r="D29" i="44"/>
  <c r="M7" i="2" s="1"/>
  <c r="D45" i="44"/>
  <c r="M23" i="2" s="1"/>
  <c r="D61" i="44"/>
  <c r="M39" i="2" s="1"/>
  <c r="D38" i="44"/>
  <c r="M16" i="2" s="1"/>
  <c r="D54" i="44"/>
  <c r="M32" i="2" s="1"/>
  <c r="D31" i="44"/>
  <c r="M9" i="2" s="1"/>
  <c r="D45" i="45"/>
  <c r="L19" i="2" s="1"/>
  <c r="D61" i="45"/>
  <c r="L35" i="2" s="1"/>
  <c r="D39" i="48"/>
  <c r="K13" i="2" s="1"/>
  <c r="D37" i="48"/>
  <c r="K11" i="2" s="1"/>
  <c r="D53" i="48"/>
  <c r="K27" i="2" s="1"/>
  <c r="D69" i="48"/>
  <c r="K43" i="2" s="1"/>
  <c r="D42" i="49"/>
  <c r="I18" i="2" s="1"/>
  <c r="D58" i="49"/>
  <c r="I34" i="2" s="1"/>
  <c r="D35" i="49"/>
  <c r="I11" i="2" s="1"/>
  <c r="D51" i="49"/>
  <c r="I27" i="2" s="1"/>
  <c r="D67" i="49"/>
  <c r="I43" i="2" s="1"/>
  <c r="D44" i="49"/>
  <c r="I20" i="2" s="1"/>
  <c r="D60" i="49"/>
  <c r="I36" i="2" s="1"/>
  <c r="D37" i="49"/>
  <c r="I13" i="2" s="1"/>
  <c r="D53" i="49"/>
  <c r="I29" i="2" s="1"/>
  <c r="D69" i="49"/>
  <c r="I45" i="2" s="1"/>
  <c r="D34" i="50"/>
  <c r="J10" i="2" s="1"/>
  <c r="D50" i="50"/>
  <c r="J26" i="2" s="1"/>
  <c r="D66" i="50"/>
  <c r="J42" i="2" s="1"/>
  <c r="D43" i="50"/>
  <c r="J19" i="2" s="1"/>
  <c r="D59" i="50"/>
  <c r="J35" i="2" s="1"/>
  <c r="D36" i="50"/>
  <c r="J12" i="2" s="1"/>
  <c r="D52" i="50"/>
  <c r="J28" i="2" s="1"/>
  <c r="D68" i="50"/>
  <c r="J44" i="2" s="1"/>
  <c r="D45" i="50"/>
  <c r="J21" i="2" s="1"/>
  <c r="D61" i="50"/>
  <c r="J37" i="2" s="1"/>
  <c r="D35" i="52"/>
  <c r="E10" i="2" s="1"/>
  <c r="D51" i="52"/>
  <c r="E26" i="2" s="1"/>
  <c r="D67" i="52"/>
  <c r="E42" i="2" s="1"/>
  <c r="D58" i="52"/>
  <c r="E33" i="2" s="1"/>
  <c r="D40" i="52"/>
  <c r="E15" i="2" s="1"/>
  <c r="D56" i="52"/>
  <c r="E31" i="2" s="1"/>
  <c r="D33" i="52"/>
  <c r="E8" i="2" s="1"/>
  <c r="D53" i="52"/>
  <c r="E28" i="2" s="1"/>
  <c r="D69" i="52"/>
  <c r="E44" i="2" s="1"/>
  <c r="D22" i="35"/>
  <c r="N6" i="2" s="1"/>
  <c r="D36" i="44"/>
  <c r="M14" i="2" s="1"/>
  <c r="D52" i="44"/>
  <c r="M30" i="2" s="1"/>
  <c r="D39" i="44"/>
  <c r="M17" i="2" s="1"/>
  <c r="D49" i="44"/>
  <c r="M27" i="2" s="1"/>
  <c r="D65" i="44"/>
  <c r="M43" i="2" s="1"/>
  <c r="D42" i="44"/>
  <c r="M20" i="2" s="1"/>
  <c r="D58" i="44"/>
  <c r="M36" i="2" s="1"/>
  <c r="D35" i="44"/>
  <c r="M13" i="2" s="1"/>
  <c r="D59" i="44"/>
  <c r="M37" i="2" s="1"/>
  <c r="D48" i="45"/>
  <c r="L22" i="2" s="1"/>
  <c r="D64" i="45"/>
  <c r="L38" i="2" s="1"/>
  <c r="D54" i="45"/>
  <c r="L28" i="2" s="1"/>
  <c r="D47" i="45"/>
  <c r="L21" i="2" s="1"/>
  <c r="D33" i="45"/>
  <c r="L7" i="2" s="1"/>
  <c r="D49" i="45"/>
  <c r="L23" i="2" s="1"/>
  <c r="D65" i="45"/>
  <c r="L39" i="2" s="1"/>
  <c r="D50" i="45"/>
  <c r="L24" i="2" s="1"/>
  <c r="D43" i="45"/>
  <c r="L17" i="2" s="1"/>
  <c r="D40" i="48"/>
  <c r="K14" i="2" s="1"/>
  <c r="D56" i="48"/>
  <c r="K30" i="2" s="1"/>
  <c r="D55" i="48"/>
  <c r="K29" i="2" s="1"/>
  <c r="D41" i="48"/>
  <c r="K15" i="2" s="1"/>
  <c r="D57" i="48"/>
  <c r="K31" i="2" s="1"/>
  <c r="D34" i="48"/>
  <c r="K8" i="2" s="1"/>
  <c r="D58" i="48"/>
  <c r="K32" i="2" s="1"/>
  <c r="D43" i="48"/>
  <c r="K17" i="2" s="1"/>
  <c r="D46" i="49"/>
  <c r="I22" i="2" s="1"/>
  <c r="D62" i="49"/>
  <c r="I38" i="2" s="1"/>
  <c r="D39" i="49"/>
  <c r="I15" i="2" s="1"/>
  <c r="D55" i="49"/>
  <c r="I31" i="2" s="1"/>
  <c r="D32" i="49"/>
  <c r="I8" i="2" s="1"/>
  <c r="D48" i="49"/>
  <c r="I24" i="2" s="1"/>
  <c r="D64" i="49"/>
  <c r="I40" i="2" s="1"/>
  <c r="D41" i="49"/>
  <c r="I17" i="2" s="1"/>
  <c r="D57" i="49"/>
  <c r="I33" i="2" s="1"/>
  <c r="D38" i="50"/>
  <c r="J14" i="2" s="1"/>
  <c r="D54" i="50"/>
  <c r="J30" i="2" s="1"/>
  <c r="D31" i="50"/>
  <c r="J7" i="2" s="1"/>
  <c r="D47" i="50"/>
  <c r="J23" i="2" s="1"/>
  <c r="D63" i="50"/>
  <c r="J39" i="2" s="1"/>
  <c r="D40" i="50"/>
  <c r="J16" i="2" s="1"/>
  <c r="D56" i="50"/>
  <c r="J32" i="2" s="1"/>
  <c r="D33" i="50"/>
  <c r="J9" i="2" s="1"/>
  <c r="D49" i="50"/>
  <c r="J25" i="2" s="1"/>
  <c r="D65" i="50"/>
  <c r="J41" i="2" s="1"/>
  <c r="D39" i="52"/>
  <c r="E14" i="2" s="1"/>
  <c r="D55" i="52"/>
  <c r="E30" i="2" s="1"/>
  <c r="D37" i="52"/>
  <c r="E12" i="2" s="1"/>
  <c r="D66" i="52"/>
  <c r="E41" i="2" s="1"/>
  <c r="D44" i="52"/>
  <c r="E19" i="2" s="1"/>
  <c r="D60" i="52"/>
  <c r="E35" i="2" s="1"/>
  <c r="D41" i="52"/>
  <c r="E16" i="2" s="1"/>
  <c r="D57" i="52"/>
  <c r="E32" i="2" s="1"/>
  <c r="D62" i="52"/>
  <c r="E37" i="2" s="1"/>
  <c r="D32" i="45"/>
  <c r="L6" i="2" s="1"/>
  <c r="K6" i="2"/>
  <c r="D63" i="48"/>
  <c r="K37" i="2" s="1"/>
  <c r="K9" i="2"/>
  <c r="K20" i="2"/>
  <c r="D59" i="48"/>
  <c r="K33" i="2" s="1"/>
  <c r="D50" i="48"/>
  <c r="K24" i="2" s="1"/>
  <c r="D38" i="48"/>
  <c r="K12" i="2" s="1"/>
  <c r="B51" i="51"/>
  <c r="D51" i="51" s="1"/>
  <c r="D22" i="2" s="1"/>
  <c r="B41" i="51"/>
  <c r="D41" i="51" s="1"/>
  <c r="D12" i="2" s="1"/>
  <c r="B54" i="51"/>
  <c r="D54" i="51" s="1"/>
  <c r="D25" i="2" s="1"/>
  <c r="B44" i="51"/>
  <c r="D44" i="51" s="1"/>
  <c r="D15" i="2" s="1"/>
  <c r="B68" i="51"/>
  <c r="D68" i="51" s="1"/>
  <c r="D39" i="2" s="1"/>
  <c r="B57" i="51"/>
  <c r="D57" i="51" s="1"/>
  <c r="D28" i="2" s="1"/>
  <c r="B50" i="51"/>
  <c r="D50" i="51" s="1"/>
  <c r="D21" i="2" s="1"/>
  <c r="B47" i="51"/>
  <c r="D47" i="51" s="1"/>
  <c r="D18" i="2" s="1"/>
  <c r="B67" i="51"/>
  <c r="D67" i="51" s="1"/>
  <c r="D38" i="2" s="1"/>
  <c r="B38" i="51"/>
  <c r="D38" i="51" s="1"/>
  <c r="D9" i="2" s="1"/>
  <c r="B40" i="51"/>
  <c r="D40" i="51" s="1"/>
  <c r="D11" i="2" s="1"/>
  <c r="B60" i="51"/>
  <c r="D60" i="51" s="1"/>
  <c r="D31" i="2" s="1"/>
  <c r="B49" i="51"/>
  <c r="D49" i="51" s="1"/>
  <c r="D20" i="2" s="1"/>
  <c r="B46" i="51"/>
  <c r="D46" i="51" s="1"/>
  <c r="D17" i="2" s="1"/>
  <c r="B59" i="51"/>
  <c r="D59" i="51" s="1"/>
  <c r="D30" i="2" s="1"/>
  <c r="B53" i="51"/>
  <c r="D53" i="51" s="1"/>
  <c r="D24" i="2" s="1"/>
  <c r="B62" i="51"/>
  <c r="D62" i="51" s="1"/>
  <c r="D33" i="2" s="1"/>
  <c r="B52" i="51"/>
  <c r="D52" i="51" s="1"/>
  <c r="D23" i="2" s="1"/>
  <c r="B72" i="51"/>
  <c r="D72" i="51" s="1"/>
  <c r="D43" i="2" s="1"/>
  <c r="B65" i="51"/>
  <c r="D65" i="51" s="1"/>
  <c r="D36" i="2" s="1"/>
  <c r="B66" i="51"/>
  <c r="D66" i="51" s="1"/>
  <c r="D37" i="2" s="1"/>
  <c r="B43" i="51"/>
  <c r="D43" i="51" s="1"/>
  <c r="D14" i="2" s="1"/>
  <c r="B63" i="51"/>
  <c r="D63" i="51" s="1"/>
  <c r="D34" i="2" s="1"/>
  <c r="B61" i="51"/>
  <c r="D61" i="51" s="1"/>
  <c r="D32" i="2" s="1"/>
  <c r="B36" i="51"/>
  <c r="D36" i="51" s="1"/>
  <c r="D7" i="2" s="1"/>
  <c r="B56" i="51"/>
  <c r="D56" i="51" s="1"/>
  <c r="D27" i="2" s="1"/>
  <c r="B37" i="51"/>
  <c r="D37" i="51" s="1"/>
  <c r="D8" i="2" s="1"/>
  <c r="B42" i="51"/>
  <c r="D42" i="51" s="1"/>
  <c r="D13" i="2" s="1"/>
  <c r="B74" i="51"/>
  <c r="D74" i="51" s="1"/>
  <c r="D45" i="2" s="1"/>
  <c r="D35" i="51"/>
  <c r="D6" i="2" s="1"/>
  <c r="E21" i="2"/>
  <c r="L41" i="2"/>
  <c r="K28" i="2"/>
  <c r="B39" i="51"/>
  <c r="B55" i="51"/>
  <c r="D55" i="51" s="1"/>
  <c r="D26" i="2" s="1"/>
  <c r="B71" i="51"/>
  <c r="B73" i="51"/>
  <c r="D73" i="51" s="1"/>
  <c r="D44" i="2" s="1"/>
  <c r="B70" i="51"/>
  <c r="D70" i="51" s="1"/>
  <c r="D41" i="2" s="1"/>
  <c r="B48" i="51"/>
  <c r="B64" i="51"/>
  <c r="D64" i="51" s="1"/>
  <c r="D35" i="2" s="1"/>
  <c r="B45" i="51"/>
  <c r="D45" i="51" s="1"/>
  <c r="D16" i="2" s="1"/>
  <c r="B69" i="51"/>
  <c r="D69" i="51" s="1"/>
  <c r="D40" i="2" s="1"/>
  <c r="B58" i="51"/>
  <c r="D58" i="51" s="1"/>
  <c r="D29" i="2" s="1"/>
  <c r="J43" i="2"/>
  <c r="J6" i="2"/>
  <c r="K41" i="2"/>
  <c r="K16" i="2"/>
  <c r="L9" i="2"/>
  <c r="L16" i="2"/>
  <c r="M35" i="2"/>
  <c r="M33" i="2"/>
  <c r="M6" i="2"/>
  <c r="C61" i="35"/>
  <c r="C57" i="35"/>
  <c r="C53" i="35"/>
  <c r="C49" i="35"/>
  <c r="C45" i="35"/>
  <c r="C41" i="35"/>
  <c r="C37" i="35"/>
  <c r="C33" i="35"/>
  <c r="C29" i="35"/>
  <c r="C25" i="35"/>
  <c r="C60" i="35"/>
  <c r="C56" i="35"/>
  <c r="C52" i="35"/>
  <c r="C48" i="35"/>
  <c r="C44" i="35"/>
  <c r="C40" i="35"/>
  <c r="C36" i="35"/>
  <c r="C32" i="35"/>
  <c r="C28" i="35"/>
  <c r="C24" i="35"/>
  <c r="C59" i="35"/>
  <c r="C55" i="35"/>
  <c r="C51" i="35"/>
  <c r="C47" i="35"/>
  <c r="C43" i="35"/>
  <c r="C39" i="35"/>
  <c r="C35" i="35"/>
  <c r="C31" i="35"/>
  <c r="C27" i="35"/>
  <c r="C23" i="35"/>
  <c r="C58" i="35"/>
  <c r="C54" i="35"/>
  <c r="C50" i="35"/>
  <c r="C46" i="35"/>
  <c r="C42" i="35"/>
  <c r="C38" i="35"/>
  <c r="C34" i="35"/>
  <c r="C30" i="35"/>
  <c r="C26" i="35"/>
  <c r="B61" i="35"/>
  <c r="B49" i="35"/>
  <c r="B37" i="35"/>
  <c r="B25" i="35"/>
  <c r="B60" i="35"/>
  <c r="B56" i="35"/>
  <c r="B52" i="35"/>
  <c r="B48" i="35"/>
  <c r="B44" i="35"/>
  <c r="B40" i="35"/>
  <c r="B36" i="35"/>
  <c r="B32" i="35"/>
  <c r="B28" i="35"/>
  <c r="B24" i="35"/>
  <c r="B57" i="35"/>
  <c r="B45" i="35"/>
  <c r="B29" i="35"/>
  <c r="B59" i="35"/>
  <c r="B55" i="35"/>
  <c r="B51" i="35"/>
  <c r="D51" i="35" s="1"/>
  <c r="B47" i="35"/>
  <c r="B43" i="35"/>
  <c r="B39" i="35"/>
  <c r="B35" i="35"/>
  <c r="B31" i="35"/>
  <c r="B27" i="35"/>
  <c r="B23" i="35"/>
  <c r="B53" i="35"/>
  <c r="B41" i="35"/>
  <c r="B33" i="35"/>
  <c r="B58" i="35"/>
  <c r="B54" i="35"/>
  <c r="B50" i="35"/>
  <c r="B46" i="35"/>
  <c r="B42" i="35"/>
  <c r="B38" i="35"/>
  <c r="B34" i="35"/>
  <c r="B30" i="35"/>
  <c r="B26" i="35"/>
  <c r="D35" i="35" l="1"/>
  <c r="N19" i="2" s="1"/>
  <c r="D31" i="35"/>
  <c r="N15" i="2" s="1"/>
  <c r="D28" i="35"/>
  <c r="N12" i="2" s="1"/>
  <c r="D44" i="35"/>
  <c r="N28" i="2" s="1"/>
  <c r="D60" i="35"/>
  <c r="N44" i="2" s="1"/>
  <c r="D26" i="35"/>
  <c r="N10" i="2" s="1"/>
  <c r="D42" i="35"/>
  <c r="N26" i="2" s="1"/>
  <c r="D58" i="35"/>
  <c r="N42" i="2" s="1"/>
  <c r="D36" i="35"/>
  <c r="N20" i="2" s="1"/>
  <c r="D52" i="35"/>
  <c r="N36" i="2" s="1"/>
  <c r="D37" i="35"/>
  <c r="N21" i="2" s="1"/>
  <c r="D33" i="35"/>
  <c r="N17" i="2" s="1"/>
  <c r="D24" i="35"/>
  <c r="N8" i="2" s="1"/>
  <c r="D40" i="35"/>
  <c r="N24" i="2" s="1"/>
  <c r="D56" i="35"/>
  <c r="N40" i="2" s="1"/>
  <c r="D49" i="35"/>
  <c r="N33" i="2" s="1"/>
  <c r="D34" i="35"/>
  <c r="N18" i="2" s="1"/>
  <c r="D50" i="35"/>
  <c r="N34" i="2" s="1"/>
  <c r="D41" i="35"/>
  <c r="N25" i="2" s="1"/>
  <c r="D29" i="35"/>
  <c r="N13" i="2" s="1"/>
  <c r="D23" i="35"/>
  <c r="N7" i="2" s="1"/>
  <c r="D39" i="35"/>
  <c r="N23" i="2" s="1"/>
  <c r="D55" i="35"/>
  <c r="N39" i="2" s="1"/>
  <c r="D57" i="35"/>
  <c r="N41" i="2" s="1"/>
  <c r="D30" i="35"/>
  <c r="N14" i="2" s="1"/>
  <c r="D46" i="35"/>
  <c r="N30" i="2" s="1"/>
  <c r="D27" i="35"/>
  <c r="N11" i="2" s="1"/>
  <c r="D43" i="35"/>
  <c r="N27" i="2" s="1"/>
  <c r="D59" i="35"/>
  <c r="N43" i="2" s="1"/>
  <c r="D47" i="35"/>
  <c r="N31" i="2" s="1"/>
  <c r="D61" i="35"/>
  <c r="N45" i="2" s="1"/>
  <c r="D38" i="35"/>
  <c r="N22" i="2" s="1"/>
  <c r="D54" i="35"/>
  <c r="N38" i="2" s="1"/>
  <c r="D53" i="35"/>
  <c r="N37" i="2" s="1"/>
  <c r="D45" i="35"/>
  <c r="N29" i="2" s="1"/>
  <c r="D32" i="35"/>
  <c r="N16" i="2" s="1"/>
  <c r="D48" i="35"/>
  <c r="N32" i="2" s="1"/>
  <c r="D25" i="35"/>
  <c r="N9" i="2" s="1"/>
  <c r="D48" i="51"/>
  <c r="D19" i="2" s="1"/>
  <c r="D39" i="51"/>
  <c r="D10" i="2" s="1"/>
  <c r="D71" i="51"/>
  <c r="D42" i="2" s="1"/>
  <c r="N35" i="2"/>
  <c r="K47" i="2" l="1"/>
  <c r="L47" i="2"/>
  <c r="M47" i="2"/>
  <c r="N47" i="2"/>
  <c r="W41" i="18"/>
  <c r="W40" i="18"/>
  <c r="W39" i="18"/>
  <c r="W38" i="18"/>
  <c r="W37" i="18"/>
  <c r="W36" i="18"/>
  <c r="W35" i="18"/>
  <c r="W34" i="18"/>
  <c r="W33" i="18"/>
  <c r="W32" i="18"/>
  <c r="W31" i="18"/>
  <c r="W30" i="18"/>
  <c r="W29" i="18"/>
  <c r="W28" i="18"/>
  <c r="W27" i="18"/>
  <c r="W26" i="18"/>
  <c r="W25" i="18"/>
  <c r="W24" i="18"/>
  <c r="W23" i="18"/>
  <c r="W22" i="18"/>
  <c r="W21" i="18"/>
  <c r="W20" i="18"/>
  <c r="W19" i="18"/>
  <c r="W18" i="18"/>
  <c r="W17" i="18"/>
  <c r="W16" i="18"/>
  <c r="W15" i="18"/>
  <c r="W14" i="18"/>
  <c r="W13" i="18"/>
  <c r="W12" i="18"/>
  <c r="W11" i="18"/>
  <c r="W10" i="18"/>
  <c r="W9" i="18"/>
  <c r="W8" i="18"/>
  <c r="W7" i="18"/>
  <c r="W6" i="18"/>
  <c r="W5" i="18"/>
  <c r="W4" i="18"/>
  <c r="W3" i="18"/>
  <c r="W2" i="18"/>
  <c r="C26" i="13" l="1" a="1"/>
  <c r="O26" i="13" s="1"/>
  <c r="I47" i="2" l="1"/>
  <c r="E47" i="2"/>
  <c r="D26" i="13"/>
  <c r="E26" i="13"/>
  <c r="H26" i="13"/>
  <c r="F26" i="13"/>
  <c r="I26" i="13"/>
  <c r="K26" i="13"/>
  <c r="L26" i="13"/>
  <c r="N26" i="13"/>
  <c r="C26" i="13"/>
  <c r="G26" i="13"/>
  <c r="J26" i="13"/>
  <c r="M26" i="13"/>
  <c r="J47" i="2"/>
  <c r="D47" i="2" l="1"/>
  <c r="C48" i="13" a="1"/>
  <c r="AP48" i="13" s="1"/>
  <c r="B70" i="43" s="1"/>
  <c r="D70" i="43" l="1"/>
  <c r="C45" i="2" s="1"/>
  <c r="T48" i="13"/>
  <c r="B48" i="43" s="1"/>
  <c r="K48" i="13"/>
  <c r="B39" i="43" s="1"/>
  <c r="E48" i="13"/>
  <c r="AK48" i="13"/>
  <c r="B65" i="43" s="1"/>
  <c r="AD48" i="13"/>
  <c r="B58" i="43" s="1"/>
  <c r="H48" i="13"/>
  <c r="X48" i="13"/>
  <c r="AN48" i="13"/>
  <c r="B68" i="43" s="1"/>
  <c r="O48" i="13"/>
  <c r="B43" i="43" s="1"/>
  <c r="AE48" i="13"/>
  <c r="I48" i="13"/>
  <c r="Y48" i="13"/>
  <c r="B53" i="43" s="1"/>
  <c r="AO48" i="13"/>
  <c r="B69" i="43" s="1"/>
  <c r="R48" i="13"/>
  <c r="AH48" i="13"/>
  <c r="L48" i="13"/>
  <c r="B40" i="43" s="1"/>
  <c r="AB48" i="13"/>
  <c r="B56" i="43" s="1"/>
  <c r="C48" i="13"/>
  <c r="B31" i="43" s="1"/>
  <c r="S48" i="13"/>
  <c r="AI48" i="13"/>
  <c r="B63" i="43" s="1"/>
  <c r="M48" i="13"/>
  <c r="B41" i="43" s="1"/>
  <c r="AC48" i="13"/>
  <c r="F48" i="13"/>
  <c r="V48" i="13"/>
  <c r="B50" i="43" s="1"/>
  <c r="AL48" i="13"/>
  <c r="B66" i="43" s="1"/>
  <c r="D48" i="13"/>
  <c r="AJ48" i="13"/>
  <c r="AA48" i="13"/>
  <c r="B55" i="43" s="1"/>
  <c r="U48" i="13"/>
  <c r="B49" i="43" s="1"/>
  <c r="N48" i="13"/>
  <c r="P48" i="13"/>
  <c r="AF48" i="13"/>
  <c r="B60" i="43" s="1"/>
  <c r="G48" i="13"/>
  <c r="B35" i="43" s="1"/>
  <c r="W48" i="13"/>
  <c r="B51" i="43" s="1"/>
  <c r="AM48" i="13"/>
  <c r="Q48" i="13"/>
  <c r="B45" i="43" s="1"/>
  <c r="AG48" i="13"/>
  <c r="B61" i="43" s="1"/>
  <c r="J48" i="13"/>
  <c r="Z48" i="13"/>
  <c r="AP50" i="13"/>
  <c r="D31" i="43" l="1"/>
  <c r="C6" i="2" s="1"/>
  <c r="D61" i="43"/>
  <c r="C36" i="2" s="1"/>
  <c r="D35" i="43"/>
  <c r="C10" i="2" s="1"/>
  <c r="D49" i="43"/>
  <c r="C24" i="2" s="1"/>
  <c r="D66" i="43"/>
  <c r="C41" i="2" s="1"/>
  <c r="D41" i="43"/>
  <c r="C16" i="2" s="1"/>
  <c r="D56" i="43"/>
  <c r="C31" i="2" s="1"/>
  <c r="D69" i="43"/>
  <c r="C44" i="2" s="1"/>
  <c r="D43" i="43"/>
  <c r="C18" i="2" s="1"/>
  <c r="D58" i="43"/>
  <c r="C33" i="2" s="1"/>
  <c r="D48" i="43"/>
  <c r="C23" i="2" s="1"/>
  <c r="D51" i="43"/>
  <c r="C26" i="2" s="1"/>
  <c r="D39" i="43"/>
  <c r="C14" i="2" s="1"/>
  <c r="D45" i="43"/>
  <c r="C20" i="2" s="1"/>
  <c r="D60" i="43"/>
  <c r="C35" i="2" s="1"/>
  <c r="D55" i="43"/>
  <c r="C30" i="2" s="1"/>
  <c r="D50" i="43"/>
  <c r="C25" i="2" s="1"/>
  <c r="D63" i="43"/>
  <c r="C38" i="2" s="1"/>
  <c r="D40" i="43"/>
  <c r="C15" i="2" s="1"/>
  <c r="D53" i="43"/>
  <c r="C28" i="2" s="1"/>
  <c r="D68" i="43"/>
  <c r="C43" i="2" s="1"/>
  <c r="D65" i="43"/>
  <c r="C40" i="2" s="1"/>
  <c r="W50" i="13"/>
  <c r="AD50" i="13"/>
  <c r="C50" i="13"/>
  <c r="U50" i="13"/>
  <c r="G50" i="13"/>
  <c r="AB50" i="13"/>
  <c r="N50" i="13"/>
  <c r="B42" i="43"/>
  <c r="D50" i="13"/>
  <c r="B32" i="43"/>
  <c r="AC50" i="13"/>
  <c r="B57" i="43"/>
  <c r="AL50" i="13"/>
  <c r="T50" i="13"/>
  <c r="J50" i="13"/>
  <c r="B38" i="43"/>
  <c r="R50" i="13"/>
  <c r="B46" i="43"/>
  <c r="AE50" i="13"/>
  <c r="B59" i="43"/>
  <c r="H50" i="13"/>
  <c r="B36" i="43"/>
  <c r="AO50" i="13"/>
  <c r="AG50" i="13"/>
  <c r="M50" i="13"/>
  <c r="O50" i="13"/>
  <c r="Z50" i="13"/>
  <c r="B54" i="43"/>
  <c r="AM50" i="13"/>
  <c r="B67" i="43"/>
  <c r="P50" i="13"/>
  <c r="B44" i="43"/>
  <c r="AJ50" i="13"/>
  <c r="B64" i="43"/>
  <c r="F50" i="13"/>
  <c r="B34" i="43"/>
  <c r="S50" i="13"/>
  <c r="B47" i="43"/>
  <c r="AH50" i="13"/>
  <c r="B62" i="43"/>
  <c r="I50" i="13"/>
  <c r="B37" i="43"/>
  <c r="X50" i="13"/>
  <c r="B52" i="43"/>
  <c r="E50" i="13"/>
  <c r="B33" i="43"/>
  <c r="K50" i="13"/>
  <c r="L50" i="13"/>
  <c r="AA50" i="13"/>
  <c r="AF50" i="13"/>
  <c r="AI50" i="13"/>
  <c r="Q50" i="13"/>
  <c r="AN50" i="13"/>
  <c r="V50" i="13"/>
  <c r="Y50" i="13"/>
  <c r="AK50" i="13"/>
  <c r="D52" i="43" l="1"/>
  <c r="C27" i="2" s="1"/>
  <c r="D34" i="43"/>
  <c r="C9" i="2" s="1"/>
  <c r="D44" i="43"/>
  <c r="C19" i="2" s="1"/>
  <c r="D59" i="43"/>
  <c r="C34" i="2" s="1"/>
  <c r="D57" i="43"/>
  <c r="C32" i="2" s="1"/>
  <c r="D42" i="43"/>
  <c r="C17" i="2" s="1"/>
  <c r="D38" i="43"/>
  <c r="C13" i="2" s="1"/>
  <c r="D33" i="43"/>
  <c r="C8" i="2" s="1"/>
  <c r="D47" i="43"/>
  <c r="C22" i="2" s="1"/>
  <c r="D64" i="43"/>
  <c r="C39" i="2" s="1"/>
  <c r="D67" i="43"/>
  <c r="C42" i="2" s="1"/>
  <c r="D36" i="43"/>
  <c r="C11" i="2" s="1"/>
  <c r="D46" i="43"/>
  <c r="C21" i="2" s="1"/>
  <c r="D32" i="43"/>
  <c r="C7" i="2" s="1"/>
  <c r="D62" i="43"/>
  <c r="C37" i="2" s="1"/>
  <c r="D54" i="43"/>
  <c r="C29" i="2" s="1"/>
  <c r="D37" i="43"/>
  <c r="C12" i="2" s="1"/>
  <c r="C47" i="2" l="1"/>
  <c r="B22" i="42" l="1" a="1"/>
  <c r="C22" i="42" a="1"/>
  <c r="C22" i="42" l="1"/>
  <c r="C61" i="42"/>
  <c r="C37" i="42"/>
  <c r="C48" i="42"/>
  <c r="C55" i="42"/>
  <c r="C39" i="42"/>
  <c r="C23" i="42"/>
  <c r="C60" i="42"/>
  <c r="C32" i="42"/>
  <c r="C50" i="42"/>
  <c r="C34" i="42"/>
  <c r="C42" i="42"/>
  <c r="C56" i="42"/>
  <c r="C43" i="42"/>
  <c r="C33" i="42"/>
  <c r="C54" i="42"/>
  <c r="C53" i="42"/>
  <c r="C29" i="42"/>
  <c r="C40" i="42"/>
  <c r="C51" i="42"/>
  <c r="C35" i="42"/>
  <c r="C57" i="42"/>
  <c r="C52" i="42"/>
  <c r="C24" i="42"/>
  <c r="C46" i="42"/>
  <c r="C30" i="42"/>
  <c r="C49" i="42"/>
  <c r="C25" i="42"/>
  <c r="C28" i="42"/>
  <c r="C47" i="42"/>
  <c r="C31" i="42"/>
  <c r="C45" i="42"/>
  <c r="C44" i="42"/>
  <c r="C58" i="42"/>
  <c r="C26" i="42"/>
  <c r="C41" i="42"/>
  <c r="C59" i="42"/>
  <c r="C27" i="42"/>
  <c r="C36" i="42"/>
  <c r="C38" i="42"/>
  <c r="B22" i="42"/>
  <c r="D22" i="42" s="1"/>
  <c r="B57" i="42"/>
  <c r="B41" i="42"/>
  <c r="B25" i="42"/>
  <c r="D25" i="42" s="1"/>
  <c r="B48" i="42"/>
  <c r="B32" i="42"/>
  <c r="B55" i="42"/>
  <c r="D55" i="42" s="1"/>
  <c r="B39" i="42"/>
  <c r="D39" i="42" s="1"/>
  <c r="B23" i="42"/>
  <c r="B46" i="42"/>
  <c r="B30" i="42"/>
  <c r="B47" i="42"/>
  <c r="B61" i="42"/>
  <c r="D61" i="42" s="1"/>
  <c r="B29" i="42"/>
  <c r="D29" i="42" s="1"/>
  <c r="B36" i="42"/>
  <c r="D36" i="42" s="1"/>
  <c r="B59" i="42"/>
  <c r="D59" i="42" s="1"/>
  <c r="B27" i="42"/>
  <c r="B34" i="42"/>
  <c r="B53" i="42"/>
  <c r="B37" i="42"/>
  <c r="D37" i="42" s="1"/>
  <c r="B60" i="42"/>
  <c r="B44" i="42"/>
  <c r="B28" i="42"/>
  <c r="D28" i="42" s="1"/>
  <c r="B51" i="42"/>
  <c r="D51" i="42" s="1"/>
  <c r="B35" i="42"/>
  <c r="B58" i="42"/>
  <c r="D58" i="42" s="1"/>
  <c r="B42" i="42"/>
  <c r="B26" i="42"/>
  <c r="D26" i="42" s="1"/>
  <c r="B49" i="42"/>
  <c r="B40" i="42"/>
  <c r="D40" i="42" s="1"/>
  <c r="B31" i="42"/>
  <c r="B38" i="42"/>
  <c r="D38" i="42" s="1"/>
  <c r="B33" i="42"/>
  <c r="B56" i="42"/>
  <c r="B24" i="42"/>
  <c r="B54" i="42"/>
  <c r="B45" i="42"/>
  <c r="B52" i="42"/>
  <c r="B43" i="42"/>
  <c r="D43" i="42" s="1"/>
  <c r="B50" i="42"/>
  <c r="D50" i="42" s="1"/>
  <c r="D31" i="42" l="1"/>
  <c r="D49" i="42"/>
  <c r="D30" i="42"/>
  <c r="D54" i="42"/>
  <c r="D47" i="42"/>
  <c r="D56" i="42"/>
  <c r="D33" i="42"/>
  <c r="B17" i="2" s="1"/>
  <c r="P17" i="2" s="1"/>
  <c r="D35" i="42"/>
  <c r="B19" i="2" s="1"/>
  <c r="P19" i="2" s="1"/>
  <c r="D27" i="42"/>
  <c r="B11" i="2" s="1"/>
  <c r="P11" i="2" s="1"/>
  <c r="D23" i="42"/>
  <c r="D52" i="42"/>
  <c r="B36" i="2" s="1"/>
  <c r="P36" i="2" s="1"/>
  <c r="D44" i="42"/>
  <c r="B28" i="2" s="1"/>
  <c r="P28" i="2" s="1"/>
  <c r="D32" i="42"/>
  <c r="B16" i="2" s="1"/>
  <c r="P16" i="2" s="1"/>
  <c r="D53" i="42"/>
  <c r="B37" i="2" s="1"/>
  <c r="P37" i="2" s="1"/>
  <c r="D34" i="42"/>
  <c r="B18" i="2" s="1"/>
  <c r="P18" i="2" s="1"/>
  <c r="D46" i="42"/>
  <c r="B30" i="2" s="1"/>
  <c r="P30" i="2" s="1"/>
  <c r="D57" i="42"/>
  <c r="D42" i="42"/>
  <c r="B26" i="2" s="1"/>
  <c r="P26" i="2" s="1"/>
  <c r="D41" i="42"/>
  <c r="B25" i="2" s="1"/>
  <c r="P25" i="2" s="1"/>
  <c r="D24" i="42"/>
  <c r="B8" i="2" s="1"/>
  <c r="P8" i="2" s="1"/>
  <c r="D45" i="42"/>
  <c r="B29" i="2" s="1"/>
  <c r="P29" i="2" s="1"/>
  <c r="D60" i="42"/>
  <c r="B44" i="2" s="1"/>
  <c r="P44" i="2" s="1"/>
  <c r="D48" i="42"/>
  <c r="B27" i="2"/>
  <c r="P27" i="2" s="1"/>
  <c r="B12" i="2"/>
  <c r="P12" i="2" s="1"/>
  <c r="B21" i="2"/>
  <c r="B43" i="2"/>
  <c r="P43" i="2" s="1"/>
  <c r="B9" i="2"/>
  <c r="B10" i="2"/>
  <c r="B14" i="2"/>
  <c r="P14" i="2" s="1"/>
  <c r="B39" i="2"/>
  <c r="P39" i="2" s="1"/>
  <c r="B40" i="2"/>
  <c r="P40" i="2" s="1"/>
  <c r="B45" i="2"/>
  <c r="P45" i="2" s="1"/>
  <c r="B15" i="2"/>
  <c r="P15" i="2" s="1"/>
  <c r="B24" i="2"/>
  <c r="P24" i="2" s="1"/>
  <c r="B13" i="2"/>
  <c r="P13" i="2" s="1"/>
  <c r="B34" i="2"/>
  <c r="P34" i="2" s="1"/>
  <c r="B22" i="2"/>
  <c r="P22" i="2" s="1"/>
  <c r="B33" i="2"/>
  <c r="P33" i="2" s="1"/>
  <c r="B7" i="2"/>
  <c r="P7" i="2" s="1"/>
  <c r="B6" i="2"/>
  <c r="P21" i="2" l="1"/>
  <c r="F21" i="2"/>
  <c r="P10" i="2"/>
  <c r="F10" i="2"/>
  <c r="P9" i="2"/>
  <c r="F9" i="2"/>
  <c r="F13" i="2"/>
  <c r="F16" i="2"/>
  <c r="F40" i="2"/>
  <c r="F28" i="2"/>
  <c r="F30" i="2"/>
  <c r="F11" i="2"/>
  <c r="F33" i="2"/>
  <c r="F22" i="2"/>
  <c r="F24" i="2"/>
  <c r="F17" i="2"/>
  <c r="F29" i="2"/>
  <c r="F15" i="2"/>
  <c r="B32" i="2"/>
  <c r="P32" i="2" s="1"/>
  <c r="F19" i="2"/>
  <c r="B20" i="2"/>
  <c r="P20" i="2" s="1"/>
  <c r="B38" i="2"/>
  <c r="P38" i="2" s="1"/>
  <c r="B23" i="2"/>
  <c r="P23" i="2" s="1"/>
  <c r="F34" i="2"/>
  <c r="B42" i="2"/>
  <c r="P42" i="2" s="1"/>
  <c r="B31" i="2"/>
  <c r="P31" i="2" s="1"/>
  <c r="B41" i="2"/>
  <c r="P41" i="2" s="1"/>
  <c r="B35" i="2"/>
  <c r="P35" i="2" s="1"/>
  <c r="F6" i="2"/>
  <c r="P6" i="2"/>
  <c r="F44" i="2"/>
  <c r="F43" i="2"/>
  <c r="F18" i="2"/>
  <c r="F36" i="2"/>
  <c r="F7" i="2"/>
  <c r="F45" i="2"/>
  <c r="F12" i="2"/>
  <c r="F39" i="2"/>
  <c r="F26" i="2"/>
  <c r="F25" i="2"/>
  <c r="F14" i="2"/>
  <c r="F8" i="2"/>
  <c r="F37" i="2"/>
  <c r="F27" i="2"/>
  <c r="F31" i="2" l="1"/>
  <c r="F41" i="2"/>
  <c r="F42" i="2"/>
  <c r="F35" i="2"/>
  <c r="F32" i="2"/>
  <c r="B47" i="2"/>
  <c r="F23" i="2"/>
  <c r="F20" i="2"/>
  <c r="F38" i="2"/>
  <c r="F50" i="2" l="1"/>
  <c r="F51" i="2"/>
  <c r="P50" i="2"/>
  <c r="P51" i="2"/>
  <c r="G32" i="2" l="1"/>
  <c r="Q32" i="2" s="1"/>
  <c r="G20" i="2"/>
  <c r="Q20" i="2" s="1"/>
  <c r="G41" i="2"/>
  <c r="Q41" i="2" s="1"/>
  <c r="G38" i="2"/>
  <c r="G42" i="2"/>
  <c r="G35" i="2"/>
  <c r="Q35" i="2" s="1"/>
  <c r="G21" i="2"/>
  <c r="Q21" i="2" s="1"/>
  <c r="G9" i="2"/>
  <c r="Q9" i="2" s="1"/>
  <c r="G40" i="2"/>
  <c r="Q40" i="2" s="1"/>
  <c r="G13" i="2"/>
  <c r="Q13" i="2" s="1"/>
  <c r="G30" i="2"/>
  <c r="G16" i="2"/>
  <c r="Q16" i="2" s="1"/>
  <c r="G10" i="2"/>
  <c r="G28" i="2"/>
  <c r="G11" i="2"/>
  <c r="G37" i="2"/>
  <c r="Q37" i="2" s="1"/>
  <c r="G36" i="2"/>
  <c r="Q36" i="2" s="1"/>
  <c r="G14" i="2"/>
  <c r="Q14" i="2" s="1"/>
  <c r="G29" i="2"/>
  <c r="G27" i="2"/>
  <c r="Q27" i="2" s="1"/>
  <c r="G34" i="2"/>
  <c r="G39" i="2"/>
  <c r="Q39" i="2" s="1"/>
  <c r="G6" i="2"/>
  <c r="G44" i="2"/>
  <c r="G15" i="2"/>
  <c r="Q15" i="2" s="1"/>
  <c r="G12" i="2"/>
  <c r="G33" i="2"/>
  <c r="G25" i="2"/>
  <c r="Q25" i="2" s="1"/>
  <c r="G19" i="2"/>
  <c r="G7" i="2"/>
  <c r="G43" i="2"/>
  <c r="G8" i="2"/>
  <c r="Q8" i="2" s="1"/>
  <c r="G22" i="2"/>
  <c r="Q22" i="2" s="1"/>
  <c r="G18" i="2"/>
  <c r="Q18" i="2" s="1"/>
  <c r="G26" i="2"/>
  <c r="G45" i="2"/>
  <c r="Q45" i="2" s="1"/>
  <c r="G17" i="2"/>
  <c r="G24" i="2"/>
  <c r="G23" i="2"/>
  <c r="Q23" i="2" s="1"/>
  <c r="G31" i="2"/>
  <c r="Q31" i="2" s="1"/>
  <c r="Q29" i="2" l="1"/>
  <c r="U29" i="2" s="1"/>
  <c r="W29" i="2" s="1"/>
  <c r="X29" i="2" s="1"/>
  <c r="Q33" i="2"/>
  <c r="U33" i="2" s="1"/>
  <c r="W33" i="2" s="1"/>
  <c r="X33" i="2" s="1"/>
  <c r="Q44" i="2"/>
  <c r="U44" i="2" s="1"/>
  <c r="W44" i="2" s="1"/>
  <c r="X44" i="2" s="1"/>
  <c r="Q30" i="2"/>
  <c r="U30" i="2" s="1"/>
  <c r="W30" i="2" s="1"/>
  <c r="X30" i="2" s="1"/>
  <c r="Q43" i="2"/>
  <c r="U43" i="2" s="1"/>
  <c r="W43" i="2" s="1"/>
  <c r="X43" i="2" s="1"/>
  <c r="Q38" i="2"/>
  <c r="U38" i="2" s="1"/>
  <c r="W38" i="2" s="1"/>
  <c r="X38" i="2" s="1"/>
  <c r="Q11" i="2"/>
  <c r="U11" i="2" s="1"/>
  <c r="W11" i="2" s="1"/>
  <c r="X11" i="2" s="1"/>
  <c r="Q24" i="2"/>
  <c r="U24" i="2" s="1"/>
  <c r="W24" i="2" s="1"/>
  <c r="X24" i="2" s="1"/>
  <c r="Q12" i="2"/>
  <c r="U12" i="2" s="1"/>
  <c r="W12" i="2" s="1"/>
  <c r="X12" i="2" s="1"/>
  <c r="U45" i="2"/>
  <c r="W45" i="2" s="1"/>
  <c r="X45" i="2" s="1"/>
  <c r="U25" i="2"/>
  <c r="W25" i="2" s="1"/>
  <c r="X25" i="2" s="1"/>
  <c r="U22" i="2"/>
  <c r="W22" i="2" s="1"/>
  <c r="X22" i="2" s="1"/>
  <c r="U36" i="2"/>
  <c r="W36" i="2" s="1"/>
  <c r="X36" i="2" s="1"/>
  <c r="U40" i="2"/>
  <c r="W40" i="2" s="1"/>
  <c r="X40" i="2" s="1"/>
  <c r="Q6" i="2"/>
  <c r="U6" i="2" s="1"/>
  <c r="W6" i="2" s="1"/>
  <c r="X6" i="2" s="1"/>
  <c r="Q42" i="2"/>
  <c r="U42" i="2" s="1"/>
  <c r="W42" i="2" s="1"/>
  <c r="X42" i="2" s="1"/>
  <c r="Q26" i="2"/>
  <c r="U26" i="2" s="1"/>
  <c r="W26" i="2" s="1"/>
  <c r="X26" i="2" s="1"/>
  <c r="Q17" i="2"/>
  <c r="U17" i="2" s="1"/>
  <c r="W17" i="2" s="1"/>
  <c r="X17" i="2" s="1"/>
  <c r="Q28" i="2"/>
  <c r="U28" i="2" s="1"/>
  <c r="W28" i="2" s="1"/>
  <c r="X28" i="2" s="1"/>
  <c r="Q7" i="2"/>
  <c r="U7" i="2" s="1"/>
  <c r="W7" i="2" s="1"/>
  <c r="X7" i="2" s="1"/>
  <c r="Q34" i="2"/>
  <c r="U34" i="2" s="1"/>
  <c r="W34" i="2" s="1"/>
  <c r="X34" i="2" s="1"/>
  <c r="Q19" i="2"/>
  <c r="U19" i="2" s="1"/>
  <c r="W19" i="2" s="1"/>
  <c r="X19" i="2" s="1"/>
  <c r="Q10" i="2"/>
  <c r="U10" i="2" s="1"/>
  <c r="W10" i="2" s="1"/>
  <c r="X10" i="2" s="1"/>
  <c r="U15" i="2"/>
  <c r="W15" i="2" s="1"/>
  <c r="X15" i="2" s="1"/>
  <c r="U18" i="2"/>
  <c r="W18" i="2" s="1"/>
  <c r="X18" i="2" s="1"/>
  <c r="U39" i="2"/>
  <c r="W39" i="2" s="1"/>
  <c r="X39" i="2" s="1"/>
  <c r="U14" i="2"/>
  <c r="W14" i="2" s="1"/>
  <c r="X14" i="2" s="1"/>
  <c r="U13" i="2"/>
  <c r="W13" i="2" s="1"/>
  <c r="X13" i="2" s="1"/>
  <c r="U35" i="2"/>
  <c r="W35" i="2" s="1"/>
  <c r="X35" i="2" s="1"/>
  <c r="U20" i="2"/>
  <c r="W20" i="2" s="1"/>
  <c r="X20" i="2" s="1"/>
  <c r="U23" i="2"/>
  <c r="W23" i="2" s="1"/>
  <c r="X23" i="2" s="1"/>
  <c r="U21" i="2"/>
  <c r="W21" i="2" s="1"/>
  <c r="X21" i="2" s="1"/>
  <c r="U41" i="2"/>
  <c r="W41" i="2" s="1"/>
  <c r="X41" i="2" s="1"/>
  <c r="U32" i="2"/>
  <c r="W32" i="2" s="1"/>
  <c r="X32" i="2" s="1"/>
  <c r="U31" i="2"/>
  <c r="W31" i="2" s="1"/>
  <c r="X31" i="2" s="1"/>
  <c r="U8" i="2"/>
  <c r="W8" i="2" s="1"/>
  <c r="X8" i="2" s="1"/>
  <c r="U27" i="2"/>
  <c r="W27" i="2" s="1"/>
  <c r="X27" i="2" s="1"/>
  <c r="U37" i="2"/>
  <c r="W37" i="2" s="1"/>
  <c r="X37" i="2" s="1"/>
  <c r="U16" i="2"/>
  <c r="W16" i="2" s="1"/>
  <c r="X16" i="2" s="1"/>
  <c r="G47" i="2"/>
  <c r="Q47" i="2" l="1"/>
  <c r="U9" i="2"/>
  <c r="W9" i="2" s="1"/>
  <c r="X9" i="2" s="1"/>
</calcChain>
</file>

<file path=xl/sharedStrings.xml><?xml version="1.0" encoding="utf-8"?>
<sst xmlns="http://schemas.openxmlformats.org/spreadsheetml/2006/main" count="1394" uniqueCount="370">
  <si>
    <r>
      <rPr>
        <b/>
        <sz val="14"/>
        <color theme="3"/>
        <rFont val="Calibri"/>
        <family val="2"/>
        <scheme val="minor"/>
      </rPr>
      <t>COBIT</t>
    </r>
    <r>
      <rPr>
        <b/>
        <sz val="14"/>
        <color theme="3"/>
        <rFont val="Calibri"/>
        <family val="2"/>
      </rPr>
      <t>®</t>
    </r>
    <r>
      <rPr>
        <b/>
        <sz val="14"/>
        <color theme="3"/>
        <rFont val="Calibri"/>
        <family val="2"/>
        <scheme val="minor"/>
      </rPr>
      <t xml:space="preserve"> 2019 Governance System Design Workbook</t>
    </r>
    <r>
      <rPr>
        <b/>
        <sz val="14"/>
        <color theme="3"/>
        <rFont val="Calibri"/>
        <family val="2"/>
      </rPr>
      <t>—</t>
    </r>
    <r>
      <rPr>
        <b/>
        <sz val="14"/>
        <color theme="3"/>
        <rFont val="Calibri"/>
        <family val="2"/>
        <scheme val="minor"/>
      </rPr>
      <t>Instructions</t>
    </r>
  </si>
  <si>
    <t>Terms &amp; Definitions</t>
  </si>
  <si>
    <t>Relative importance</t>
  </si>
  <si>
    <t>Relative importance (of governance and management objectives) is a number that indicates the influence of a certain design factor on the importance of a certain COBIT governance or management objective as compared to a baseline (standard) situation. The number is calculated as a percentage difference between the baseline and the current situation, as determined by the values given to the design factor at hand.</t>
  </si>
  <si>
    <r>
      <t xml:space="preserve">Instructions: See </t>
    </r>
    <r>
      <rPr>
        <b/>
        <i/>
        <sz val="11"/>
        <color theme="3"/>
        <rFont val="Calibri"/>
        <family val="2"/>
        <scheme val="minor"/>
      </rPr>
      <t>COBIT</t>
    </r>
    <r>
      <rPr>
        <b/>
        <sz val="11"/>
        <color theme="3"/>
        <rFont val="Calibri"/>
        <family val="2"/>
      </rPr>
      <t>®</t>
    </r>
    <r>
      <rPr>
        <b/>
        <i/>
        <sz val="11"/>
        <color theme="3"/>
        <rFont val="Calibri"/>
        <family val="2"/>
        <scheme val="minor"/>
      </rPr>
      <t xml:space="preserve"> 2019 Design Guide</t>
    </r>
    <r>
      <rPr>
        <b/>
        <sz val="11"/>
        <color theme="3"/>
        <rFont val="Calibri"/>
        <family val="2"/>
        <scheme val="minor"/>
      </rPr>
      <t>, Chapter 6</t>
    </r>
  </si>
  <si>
    <t>COBIT® 2019 Governance System Design Workbook—Canvas</t>
  </si>
  <si>
    <t>Step 2: Determine the initial scope of the Governance System</t>
  </si>
  <si>
    <t>Step 3: Refine the scope of the Governance System</t>
  </si>
  <si>
    <t>Step 4: Conclude the Scope of the Governance System</t>
  </si>
  <si>
    <r>
      <rPr>
        <b/>
        <sz val="16"/>
        <color theme="0"/>
        <rFont val="Calibri"/>
        <family val="2"/>
        <scheme val="minor"/>
      </rPr>
      <t>Design Factors:</t>
    </r>
    <r>
      <rPr>
        <b/>
        <sz val="12"/>
        <color theme="0"/>
        <rFont val="Calibri"/>
        <family val="2"/>
        <scheme val="minor"/>
      </rPr>
      <t xml:space="preserve"> </t>
    </r>
  </si>
  <si>
    <t>Enterprise Strategy</t>
  </si>
  <si>
    <t>Enterprise Goals</t>
  </si>
  <si>
    <t>Risk Profile</t>
  </si>
  <si>
    <t>I&amp;T-Related Issues</t>
  </si>
  <si>
    <r>
      <rPr>
        <b/>
        <u/>
        <sz val="11"/>
        <color theme="0"/>
        <rFont val="Calibri"/>
        <family val="2"/>
        <scheme val="minor"/>
      </rPr>
      <t>Initial</t>
    </r>
    <r>
      <rPr>
        <b/>
        <sz val="11"/>
        <color theme="0"/>
        <rFont val="Calibri"/>
        <family val="2"/>
        <scheme val="minor"/>
      </rPr>
      <t xml:space="preserve"> Scope: Governance/
Management Objectives Score</t>
    </r>
  </si>
  <si>
    <t>Threat Landscape</t>
  </si>
  <si>
    <t>Compliance Req's</t>
  </si>
  <si>
    <t>Role of IT</t>
  </si>
  <si>
    <t>Sourcing Model
for IT</t>
  </si>
  <si>
    <t>IT Implementation Methods</t>
  </si>
  <si>
    <t>Technology Adoption Strategy</t>
  </si>
  <si>
    <t>Size</t>
  </si>
  <si>
    <r>
      <rPr>
        <b/>
        <u/>
        <sz val="11"/>
        <color theme="0"/>
        <rFont val="Calibri"/>
        <family val="2"/>
        <scheme val="minor"/>
      </rPr>
      <t>Refined</t>
    </r>
    <r>
      <rPr>
        <b/>
        <sz val="11"/>
        <color theme="0"/>
        <rFont val="Calibri"/>
        <family val="2"/>
        <scheme val="minor"/>
      </rPr>
      <t xml:space="preserve"> Scope: Governance/
Management Objectives Score</t>
    </r>
  </si>
  <si>
    <t>Adjustment (between -100 and +100)</t>
  </si>
  <si>
    <t>Reason</t>
  </si>
  <si>
    <r>
      <rPr>
        <b/>
        <u/>
        <sz val="11"/>
        <color theme="0"/>
        <rFont val="Calibri"/>
        <family val="2"/>
        <scheme val="minor"/>
      </rPr>
      <t>Concluded</t>
    </r>
    <r>
      <rPr>
        <b/>
        <sz val="11"/>
        <color theme="0"/>
        <rFont val="Calibri"/>
        <family val="2"/>
        <scheme val="minor"/>
      </rPr>
      <t xml:space="preserve"> Scope: Governance/
Management Objectives Priority</t>
    </r>
  </si>
  <si>
    <r>
      <rPr>
        <b/>
        <u/>
        <sz val="10"/>
        <color theme="0"/>
        <rFont val="Calibri"/>
        <family val="2"/>
        <scheme val="minor"/>
      </rPr>
      <t>Suggested</t>
    </r>
    <r>
      <rPr>
        <b/>
        <sz val="10"/>
        <color theme="0"/>
        <rFont val="Calibri"/>
        <family val="2"/>
        <scheme val="minor"/>
      </rPr>
      <t xml:space="preserve"> Target Capability Level</t>
    </r>
  </si>
  <si>
    <r>
      <rPr>
        <b/>
        <u/>
        <sz val="10"/>
        <color theme="0"/>
        <rFont val="Calibri"/>
        <family val="2"/>
        <scheme val="minor"/>
      </rPr>
      <t>Agreed</t>
    </r>
    <r>
      <rPr>
        <b/>
        <sz val="10"/>
        <color theme="0"/>
        <rFont val="Calibri"/>
        <family val="2"/>
        <scheme val="minor"/>
      </rPr>
      <t xml:space="preserve"> Target Capability Level</t>
    </r>
  </si>
  <si>
    <t>Weight</t>
  </si>
  <si>
    <t>EDM01—Ensured  Governance Framework Setting &amp; Maintenance</t>
  </si>
  <si>
    <t>EDM02—Ensured Benefits Delivery</t>
  </si>
  <si>
    <t>EDM03—Ensured Risk Optimization</t>
  </si>
  <si>
    <t>EDM04—Ensured Resource Optimization</t>
  </si>
  <si>
    <t>EDM05—Ensured Stakeholder Engagement</t>
  </si>
  <si>
    <t>APO01—Managed I&amp;T Management Framework</t>
  </si>
  <si>
    <t>APO02—Managed Strategy</t>
  </si>
  <si>
    <t>APO03—Managed Enterprise Architecture</t>
  </si>
  <si>
    <t>APO04—Managed Innovation</t>
  </si>
  <si>
    <t>APO05—Managed Portfolio</t>
  </si>
  <si>
    <t>APO06—Managed Budget &amp; Costs</t>
  </si>
  <si>
    <t>APO07—Managed Human Resources</t>
  </si>
  <si>
    <t>APO08—Managed Relationships</t>
  </si>
  <si>
    <t>APO09—Managed Service Agreements</t>
  </si>
  <si>
    <t>APO10—Managed Vendors</t>
  </si>
  <si>
    <t>APO11—Managed Quality</t>
  </si>
  <si>
    <t>APO12—Managed Risk</t>
  </si>
  <si>
    <t>APO13—Managed Security</t>
  </si>
  <si>
    <t>APO14—Managed Data</t>
  </si>
  <si>
    <t>BAI01—Managed Programs</t>
  </si>
  <si>
    <t>BAI02—Managed Requirements Definition</t>
  </si>
  <si>
    <t>BAI03—Managed Solutions Identification &amp; Build</t>
  </si>
  <si>
    <t>BAI04—Managed Availability &amp; Capacity</t>
  </si>
  <si>
    <t>BAI05—Managed Organizational Change</t>
  </si>
  <si>
    <t>BAI06—Managed IT Changes</t>
  </si>
  <si>
    <t>BAI07—Managed IT Change Acceptance and Transitioning</t>
  </si>
  <si>
    <t>BAI08—Managed Knowledge</t>
  </si>
  <si>
    <t>BAI09—Managed Assets</t>
  </si>
  <si>
    <t>BAI10—Managed Configuration</t>
  </si>
  <si>
    <t>BAI11—Managed Projects</t>
  </si>
  <si>
    <t>DSS01—Managed Operations</t>
  </si>
  <si>
    <t>DSS02—Managed Service Requests &amp; Incidents</t>
  </si>
  <si>
    <t>DSS03—Managed Problems</t>
  </si>
  <si>
    <t>DSS04—Managed Continuity</t>
  </si>
  <si>
    <t>DSS05—Managed Security Services</t>
  </si>
  <si>
    <t>DSS06—Managed Business Process Controls</t>
  </si>
  <si>
    <t>MEA01—Managed Performance and Conformance Monitoring</t>
  </si>
  <si>
    <t>MEA02—Managed System of Internal Control</t>
  </si>
  <si>
    <t>MEA03—Managed Compliance with External Requirements</t>
  </si>
  <si>
    <t>MEA04—Managed Assurance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</si>
  <si>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1 </t>
    </r>
    <r>
      <rPr>
        <b/>
        <i/>
        <sz val="12"/>
        <rFont val="Arial"/>
        <family val="2"/>
      </rPr>
      <t xml:space="preserve">Enterprise Strategy </t>
    </r>
  </si>
  <si>
    <t>Input Section—Importance of Each Enterprise Strategy Archetype</t>
  </si>
  <si>
    <t>Value</t>
  </si>
  <si>
    <t>Importance 
(1-5)</t>
  </si>
  <si>
    <t>Baseline</t>
  </si>
  <si>
    <t>Growth/Acquisition</t>
  </si>
  <si>
    <t>Innovation/Differentiation</t>
  </si>
  <si>
    <t>Cost Leadership</t>
  </si>
  <si>
    <t>Client Service/Stability</t>
  </si>
  <si>
    <t>Average</t>
  </si>
  <si>
    <t>Stdev</t>
  </si>
  <si>
    <t>Correction Factor</t>
  </si>
  <si>
    <t>Output Section—Resulting relative importance of each governance/management objective</t>
  </si>
  <si>
    <t>Resulting Governance/Management Objectives Importance</t>
  </si>
  <si>
    <t>Governance / Management Objective</t>
  </si>
  <si>
    <t>Score</t>
  </si>
  <si>
    <t>Baseline Score</t>
  </si>
  <si>
    <t>Relative Importance</t>
  </si>
  <si>
    <t>DF1</t>
  </si>
  <si>
    <t>Growth / Acquisition</t>
  </si>
  <si>
    <t>Innovation / Differentiation</t>
  </si>
  <si>
    <t>Client Service / Stability</t>
  </si>
  <si>
    <t>EDM01</t>
  </si>
  <si>
    <t>EDM02</t>
  </si>
  <si>
    <t>EDM03</t>
  </si>
  <si>
    <t>EDM04</t>
  </si>
  <si>
    <t>EDM05</t>
  </si>
  <si>
    <t>APO01</t>
  </si>
  <si>
    <t>APO02</t>
  </si>
  <si>
    <t>APO03</t>
  </si>
  <si>
    <t>APO04</t>
  </si>
  <si>
    <t>APO05</t>
  </si>
  <si>
    <t>APO06</t>
  </si>
  <si>
    <t>APO07</t>
  </si>
  <si>
    <t>APO08</t>
  </si>
  <si>
    <t>APO09</t>
  </si>
  <si>
    <t>APO10</t>
  </si>
  <si>
    <t>APO11</t>
  </si>
  <si>
    <t>APO12</t>
  </si>
  <si>
    <t>APO13</t>
  </si>
  <si>
    <t>APO14</t>
  </si>
  <si>
    <t>BAI01</t>
  </si>
  <si>
    <t>BAI02</t>
  </si>
  <si>
    <t>BAI03</t>
  </si>
  <si>
    <t>BAI04</t>
  </si>
  <si>
    <t>BAI05</t>
  </si>
  <si>
    <t>BAI06</t>
  </si>
  <si>
    <t>BAI07</t>
  </si>
  <si>
    <t>BAI08</t>
  </si>
  <si>
    <t>BAI09</t>
  </si>
  <si>
    <t>BAI10</t>
  </si>
  <si>
    <t>BAI11</t>
  </si>
  <si>
    <t>DSS01</t>
  </si>
  <si>
    <t>DSS02</t>
  </si>
  <si>
    <t>DSS03</t>
  </si>
  <si>
    <t>DSS04</t>
  </si>
  <si>
    <t>DSS05</t>
  </si>
  <si>
    <t>DSS06</t>
  </si>
  <si>
    <t>MEA01</t>
  </si>
  <si>
    <t>MEA02</t>
  </si>
  <si>
    <t>MEA03</t>
  </si>
  <si>
    <t>MEA04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</si>
  <si>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2 </t>
    </r>
    <r>
      <rPr>
        <b/>
        <i/>
        <sz val="12"/>
        <rFont val="Arial"/>
        <family val="2"/>
      </rPr>
      <t xml:space="preserve">Enterprise Goals </t>
    </r>
  </si>
  <si>
    <t>Input Section—Importance of Each Enterprise Goal</t>
  </si>
  <si>
    <t>Importance (1-5)</t>
  </si>
  <si>
    <t>EG01—Portfolio of competitive products and services</t>
  </si>
  <si>
    <t>EG02—Managed business risk</t>
  </si>
  <si>
    <t>EG03—Compliance with external laws and regulations</t>
  </si>
  <si>
    <t>EG04—Quality of financial information</t>
  </si>
  <si>
    <t>EG05—Customer-oriented service culture</t>
  </si>
  <si>
    <t>EG06—Business-service continuity and availability</t>
  </si>
  <si>
    <t>EG07—Quality of management information</t>
  </si>
  <si>
    <t>EG08—Optimization of internal business process functionality</t>
  </si>
  <si>
    <t>EG09—Optimization of business process costs</t>
  </si>
  <si>
    <t>EG10—Staff skills, motivation and productivity</t>
  </si>
  <si>
    <t>EG11—Compliance with internal policies</t>
  </si>
  <si>
    <t>EG12—Managed digital transformation programs</t>
  </si>
  <si>
    <t>EG13—Product and business innovation</t>
  </si>
  <si>
    <t>Resulting Governance/ Management Objectives Importance</t>
  </si>
  <si>
    <t>Agile portfolio of competitive products and services</t>
  </si>
  <si>
    <t xml:space="preserve">Managed business risks </t>
  </si>
  <si>
    <t>Compliance with external laws and regulations</t>
  </si>
  <si>
    <t>Transparency and accuracy of financial information</t>
  </si>
  <si>
    <t>Customer-oriented service culture</t>
  </si>
  <si>
    <t>Business service continuity and availability</t>
  </si>
  <si>
    <t xml:space="preserve">Quality of management information </t>
  </si>
  <si>
    <t>Optimization of internal business process functionality</t>
  </si>
  <si>
    <t>Optimization of business process costs</t>
  </si>
  <si>
    <t>Staff skills, motivation and productivity</t>
  </si>
  <si>
    <t>Compliance with internal policies</t>
  </si>
  <si>
    <t>Managed business transformation programs</t>
  </si>
  <si>
    <t>Product and business innovation</t>
  </si>
  <si>
    <t>Mapping table EG-GA</t>
  </si>
  <si>
    <t>AG01</t>
  </si>
  <si>
    <t>AG02</t>
  </si>
  <si>
    <t>AG03</t>
  </si>
  <si>
    <t>AG04</t>
  </si>
  <si>
    <t>AG05</t>
  </si>
  <si>
    <t>AG06</t>
  </si>
  <si>
    <t>AG07</t>
  </si>
  <si>
    <t>AG08</t>
  </si>
  <si>
    <t>AG09</t>
  </si>
  <si>
    <t>AG10</t>
  </si>
  <si>
    <t>AG11</t>
  </si>
  <si>
    <t>AG12</t>
  </si>
  <si>
    <t>AG13</t>
  </si>
  <si>
    <t>IT compliance and support for business compliance with external laws and regulations</t>
  </si>
  <si>
    <t>Managed Technology &amp; Information related risks</t>
  </si>
  <si>
    <t>Realized benefits from IT-enabled investments  and services portfolio</t>
  </si>
  <si>
    <t>Quality of technology related financial information</t>
  </si>
  <si>
    <t>delivery of IT services  in line with business requirements</t>
  </si>
  <si>
    <t>Agility to turn business requirements into operational solutions</t>
  </si>
  <si>
    <t>Security of information, processing infrastructure and applications</t>
  </si>
  <si>
    <t>Enablement and support of business processes by Integrating applications and technology</t>
  </si>
  <si>
    <t>Delivery of programs  on time, on budget, and meeting requirements and quality standards</t>
  </si>
  <si>
    <t>Quality of IT Management Information</t>
  </si>
  <si>
    <t>IT compliance with internal policies</t>
  </si>
  <si>
    <t>Competent and motivated staff with mutual understanding of technology and business.</t>
  </si>
  <si>
    <t>Knowledge, expertise and initiatives for business innovation</t>
  </si>
  <si>
    <t>EG01</t>
  </si>
  <si>
    <t>Portfolio of agile and competitive products and services</t>
  </si>
  <si>
    <t>EG02</t>
  </si>
  <si>
    <t>EG03</t>
  </si>
  <si>
    <t>EG04</t>
  </si>
  <si>
    <t>EG05</t>
  </si>
  <si>
    <t>EG06</t>
  </si>
  <si>
    <t>EG07</t>
  </si>
  <si>
    <t xml:space="preserve">Accuracy (Quality?) of Management Information </t>
  </si>
  <si>
    <t>EG08</t>
  </si>
  <si>
    <t>Optimization of business process functionality</t>
  </si>
  <si>
    <t>EG09</t>
  </si>
  <si>
    <t>EG10</t>
  </si>
  <si>
    <t>EG11</t>
  </si>
  <si>
    <t>EG12</t>
  </si>
  <si>
    <t>EG13</t>
  </si>
  <si>
    <t>Mapping Table AG-GMO</t>
  </si>
  <si>
    <t>Ensured Governance Framework Setting &amp; Maintenance</t>
  </si>
  <si>
    <t>Ensured Benefits Delivery</t>
  </si>
  <si>
    <t>Ensured Risk Optimization</t>
  </si>
  <si>
    <t>Ensured Resource Optimization</t>
  </si>
  <si>
    <t>Ensured Stakeholder Transparency</t>
  </si>
  <si>
    <t>Managed IT Management Framework</t>
  </si>
  <si>
    <t>Managed Strategy</t>
  </si>
  <si>
    <t>Managed Architecture</t>
  </si>
  <si>
    <t>Managed Innovation</t>
  </si>
  <si>
    <t>Managed Portfolio</t>
  </si>
  <si>
    <t>Managed Budget &amp; Costs</t>
  </si>
  <si>
    <t>Managed Human Resources</t>
  </si>
  <si>
    <t>Managed Relationships</t>
  </si>
  <si>
    <t>Managed Service Agreements</t>
  </si>
  <si>
    <t>Managed Suppliers</t>
  </si>
  <si>
    <t>Managed Quality</t>
  </si>
  <si>
    <t>Managed Risk</t>
  </si>
  <si>
    <t>Managed Information Security</t>
  </si>
  <si>
    <t>Managed Data</t>
  </si>
  <si>
    <t>Managed Programs</t>
  </si>
  <si>
    <t>Managed Requirements Definition</t>
  </si>
  <si>
    <t>Managed Solutions Identification &amp; Build</t>
  </si>
  <si>
    <t>Managed Availability &amp; Capacity</t>
  </si>
  <si>
    <t>Managed Organizational Change</t>
  </si>
  <si>
    <t>Managed IT Changes</t>
  </si>
  <si>
    <t>Managed IT Change Acceptance &amp; Transitioning</t>
  </si>
  <si>
    <t>Managed Knowledge</t>
  </si>
  <si>
    <t>Managed Assets</t>
  </si>
  <si>
    <t>Managed Configuration</t>
  </si>
  <si>
    <t>Managed Projects</t>
  </si>
  <si>
    <t>Managed Operations</t>
  </si>
  <si>
    <t>Managed Service Requests &amp; Incidents</t>
  </si>
  <si>
    <t>Managed Problems</t>
  </si>
  <si>
    <t>Managed Continuity</t>
  </si>
  <si>
    <t>Managed Security Services</t>
  </si>
  <si>
    <t>Managed Business Process Controls</t>
  </si>
  <si>
    <t>Managed Performance &amp; Conformance Monitoring</t>
  </si>
  <si>
    <t>Managed System of Internal Control</t>
  </si>
  <si>
    <t>Managed Compliance with External Requirements</t>
  </si>
  <si>
    <t>Managed Internal Audit</t>
  </si>
  <si>
    <t>Delivery of IT services  in line with business requirements</t>
  </si>
  <si>
    <t>Imp®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</si>
  <si>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3 </t>
    </r>
    <r>
      <rPr>
        <b/>
        <i/>
        <sz val="12"/>
        <rFont val="Arial"/>
        <family val="2"/>
      </rPr>
      <t>Risk Profile</t>
    </r>
  </si>
  <si>
    <t>Input Section—Importance of Each Generic IT Risk Category</t>
  </si>
  <si>
    <t>Risk Scenario Category</t>
  </si>
  <si>
    <t>Impact 
(1-5)</t>
  </si>
  <si>
    <t>Likelihood (1-5)</t>
  </si>
  <si>
    <t>Risk Rating</t>
  </si>
  <si>
    <t>IT investment decision making, portfolio definition &amp; maintenance</t>
  </si>
  <si>
    <t>Very High Risk</t>
  </si>
  <si>
    <t>Program &amp; projects life cycle management</t>
  </si>
  <si>
    <t>High Risk</t>
  </si>
  <si>
    <t>IT cost &amp; oversight</t>
  </si>
  <si>
    <t>Normal Risk</t>
  </si>
  <si>
    <t>IT expertise, skills &amp; behavior</t>
  </si>
  <si>
    <t>Low Risk</t>
  </si>
  <si>
    <t xml:space="preserve">Enterprise/IT architecture </t>
  </si>
  <si>
    <t>IT operational infrastructure incidents</t>
  </si>
  <si>
    <t>Unauthorized actions</t>
  </si>
  <si>
    <t>Software adoption/usage problems</t>
  </si>
  <si>
    <t>Hardware incidents</t>
  </si>
  <si>
    <t>Software failures</t>
  </si>
  <si>
    <t>Logical attacks (hacking, malware, etc.)</t>
  </si>
  <si>
    <t>Third-party/supplier incidents</t>
  </si>
  <si>
    <t>Noncompliance</t>
  </si>
  <si>
    <t>Geopolitical Issues</t>
  </si>
  <si>
    <t>Industrial action</t>
  </si>
  <si>
    <t>Acts of nature</t>
  </si>
  <si>
    <t xml:space="preserve">Technology-based innovation </t>
  </si>
  <si>
    <t>Environmental</t>
  </si>
  <si>
    <t>Data &amp; information management</t>
  </si>
  <si>
    <t>DF3</t>
  </si>
  <si>
    <t>IT Investment Decision Making, Portfolio Definition &amp; Maintenance</t>
  </si>
  <si>
    <t>Program &amp; Projects Life Cycle Management</t>
  </si>
  <si>
    <t>IT Cost &amp; Oversight</t>
  </si>
  <si>
    <t>IT Expertise, Skills &amp; Behavior</t>
  </si>
  <si>
    <t xml:space="preserve">Enterprise/
IT Architecture </t>
  </si>
  <si>
    <t>IT Operational Infrastructure Incidents</t>
  </si>
  <si>
    <t>Unauthorized Actions</t>
  </si>
  <si>
    <t>Software Adoption/
Usage Problems</t>
  </si>
  <si>
    <t>Hardware Incidents</t>
  </si>
  <si>
    <t>Software Failures</t>
  </si>
  <si>
    <t>Logical Attacks (Hacking, Malware, etc.)</t>
  </si>
  <si>
    <t>Third-Party/
Supplier Incidents</t>
  </si>
  <si>
    <t>Industrial Action</t>
  </si>
  <si>
    <t>Acts of Nature</t>
  </si>
  <si>
    <t xml:space="preserve">Technology-Based Innovation </t>
  </si>
  <si>
    <t>Data &amp; Information Management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</si>
  <si>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4 </t>
    </r>
    <r>
      <rPr>
        <b/>
        <i/>
        <sz val="12"/>
        <rFont val="Arial"/>
        <family val="2"/>
      </rPr>
      <t xml:space="preserve">I&amp;T-Related Issues </t>
    </r>
  </si>
  <si>
    <t>Input Section—Importance of Each Generic I&amp;T-Related Issue</t>
  </si>
  <si>
    <t>I&amp;T-Related Issue</t>
  </si>
  <si>
    <t>Importance
 (1-3)</t>
  </si>
  <si>
    <t>Frustration between different IT entities across the organization because of a perception of low contribution to business value</t>
  </si>
  <si>
    <t>No Issue</t>
  </si>
  <si>
    <t>Frustration between business departments (i.e., the IT customer) and the IT department because of failed initiatives or a perception of low contribution to business value</t>
  </si>
  <si>
    <t>Issue</t>
  </si>
  <si>
    <t>Significant I&amp;T-related incidents, such as data loss, security breaches, project failure and application errors, linked to IT</t>
  </si>
  <si>
    <t>Serious Issue</t>
  </si>
  <si>
    <t xml:space="preserve">Service delivery problems by the IT outsourcer(s) </t>
  </si>
  <si>
    <t xml:space="preserve">Failures to meet IT-related regulatory or contractual requirements </t>
  </si>
  <si>
    <t>Regular audit findings or other assessment reports about poor IT performance or reported IT quality or service problems</t>
  </si>
  <si>
    <t>Substantial hidden and rogue IT spending, that is, I&amp;T spending by user departments outside the control of the normal I&amp;T investment decision mechanisms and approved budgets</t>
  </si>
  <si>
    <t>Duplications or overlaps between various initiatives, or other forms of wasted resources</t>
  </si>
  <si>
    <t>Insufficient IT resources, staff with inadequate skills or staff burnout/dissatisfaction</t>
  </si>
  <si>
    <t>IT-enabled changes or projects frequently failing to meet business needs and delivered late or over budget</t>
  </si>
  <si>
    <t>Reluctance by board members, executives or senior management to engage with IT, or a lack of committed business sponsorship for IT</t>
  </si>
  <si>
    <t>Complex IT operating model and/or unclear decision mechanisms for IT-related decisions</t>
  </si>
  <si>
    <t>Excessively high cost of IT</t>
  </si>
  <si>
    <t>Obstructed or failed implementation of new initiatives or innovations caused by the current IT architecture and systems</t>
  </si>
  <si>
    <t>Gap between business and technical knowledge, which leads to business users and information and/or technology specialists speaking different languages</t>
  </si>
  <si>
    <t>Regular issues with data quality and integration of data across various sources</t>
  </si>
  <si>
    <t>High level of end-user computing, creating (among other problems) a lack of oversight and quality control over the applications that are being developed and put in operation</t>
  </si>
  <si>
    <t>Business departments implementing their own information solutions with little or no involvement of the enterprise IT department (related to end-user computing, which often stems from dissatisfaction with IT solutions and services)</t>
  </si>
  <si>
    <t>Ignorance of and/or noncompliance with privacy regulations</t>
  </si>
  <si>
    <t>Inability to exploit new technologies or innovate using I&amp;T</t>
  </si>
  <si>
    <t>DF4</t>
  </si>
  <si>
    <t>Significant IT-related incidents, such as data loss, security breaches, project failure and application errors, linked to IT</t>
  </si>
  <si>
    <t>Substantial hidden and rogue IT spending, that is, IT spending by user departments outside the control of the normal IT investment decision mechanisms and approved budgets</t>
  </si>
  <si>
    <t>Duplications or overlaps between various initiatives or other forms of wasted resources</t>
  </si>
  <si>
    <t>Insufficient IT resources, staff with inadequate skills or staff burnout / dissatisfaction</t>
  </si>
  <si>
    <t xml:space="preserve"> IT-enabled changes or projects frequently failing to meet business needs and delivered late or over budget</t>
  </si>
  <si>
    <t>Gap between business and technical knowledge, which leads to business  users and information and/or technology specialists speaking different languages</t>
  </si>
  <si>
    <t>Regular issues with data quality and integration of data across various sources </t>
  </si>
  <si>
    <t>Business departments implementing their own information solutions with little or no involvement of the enterprise IT department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</si>
  <si>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5 </t>
    </r>
    <r>
      <rPr>
        <b/>
        <i/>
        <sz val="12"/>
        <rFont val="Arial"/>
        <family val="2"/>
      </rPr>
      <t xml:space="preserve">Threat Landscape </t>
    </r>
  </si>
  <si>
    <t>Input Section—Importance of Threat Landscape</t>
  </si>
  <si>
    <t>Importance (100%)</t>
  </si>
  <si>
    <t>Page intentionally left blank</t>
  </si>
  <si>
    <t>High</t>
  </si>
  <si>
    <t>Normal</t>
  </si>
  <si>
    <t>DF5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</si>
  <si>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6 </t>
    </r>
    <r>
      <rPr>
        <b/>
        <i/>
        <sz val="12"/>
        <rFont val="Arial"/>
        <family val="2"/>
      </rPr>
      <t>Compliance Requirements</t>
    </r>
  </si>
  <si>
    <t>Input Section—Importance of Compliance Requirements</t>
  </si>
  <si>
    <t>Importance   (100%)</t>
  </si>
  <si>
    <t>Low</t>
  </si>
  <si>
    <t>DF6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</si>
  <si>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7 </t>
    </r>
    <r>
      <rPr>
        <b/>
        <i/>
        <sz val="12"/>
        <rFont val="Arial"/>
        <family val="2"/>
      </rPr>
      <t>Role of IT</t>
    </r>
  </si>
  <si>
    <t>Input Section—Importance of Role of IT</t>
  </si>
  <si>
    <t>Support</t>
  </si>
  <si>
    <t>Factory</t>
  </si>
  <si>
    <t>Turnaround</t>
  </si>
  <si>
    <t>Strategic</t>
  </si>
  <si>
    <t>DF7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</si>
  <si>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8 </t>
    </r>
    <r>
      <rPr>
        <b/>
        <i/>
        <sz val="12"/>
        <rFont val="Arial"/>
        <family val="2"/>
      </rPr>
      <t>Sourcing Model for IT</t>
    </r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</si>
  <si>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8</t>
    </r>
    <r>
      <rPr>
        <b/>
        <i/>
        <sz val="12"/>
        <rFont val="Arial"/>
        <family val="2"/>
      </rPr>
      <t xml:space="preserve"> Sourcing Model for IT</t>
    </r>
  </si>
  <si>
    <t>Input Section—Importance of Sourcing Model for IT</t>
  </si>
  <si>
    <t>Outsourcing</t>
  </si>
  <si>
    <t>Cloud</t>
  </si>
  <si>
    <t>Insourced</t>
  </si>
  <si>
    <t>DF8</t>
  </si>
  <si>
    <t>Insourcing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</si>
  <si>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9 </t>
    </r>
    <r>
      <rPr>
        <b/>
        <i/>
        <sz val="12"/>
        <rFont val="Arial"/>
        <family val="2"/>
      </rPr>
      <t xml:space="preserve">IT Implementation Methods </t>
    </r>
  </si>
  <si>
    <t>Input Section—Importance of IT Implementation Methods</t>
  </si>
  <si>
    <t>Agile</t>
  </si>
  <si>
    <t>DevOps</t>
  </si>
  <si>
    <t>Traditional</t>
  </si>
  <si>
    <t>DF9</t>
  </si>
  <si>
    <r>
      <rPr>
        <b/>
        <sz val="12"/>
        <color theme="2" tint="-0.499984740745262"/>
        <rFont val="Arial"/>
        <family val="2"/>
      </rPr>
      <t>Information &amp; Technology Governance System Design</t>
    </r>
    <r>
      <rPr>
        <b/>
        <sz val="12"/>
        <rFont val="Arial"/>
        <family val="2"/>
      </rPr>
      <t xml:space="preserve">
Design Factor 10 </t>
    </r>
    <r>
      <rPr>
        <b/>
        <i/>
        <sz val="12"/>
        <rFont val="Arial"/>
        <family val="2"/>
      </rPr>
      <t>Technology Adoption Strategy</t>
    </r>
  </si>
  <si>
    <t>Input Section—Importance of Technology Adoption Strategy</t>
  </si>
  <si>
    <t>First mover</t>
  </si>
  <si>
    <t>Follower</t>
  </si>
  <si>
    <t>Slow adopter</t>
  </si>
  <si>
    <t>DF10</t>
  </si>
  <si>
    <t>First Mover</t>
  </si>
  <si>
    <t>Slow Adopter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</si>
</sst>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RISKCAT&quot;00"/>
    <numFmt numFmtId="166" formatCode="&quot;ITG&quot;00"/>
    <numFmt numFmtId="167" formatCode="###0;[Red]\-###0"/>
    <numFmt numFmtId="168" formatCode="0_ ;[Red]\-0\ "/>
  </numFmts>
  <fonts count="5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Symbol"/>
      <family val="1"/>
      <charset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0"/>
      <color theme="0" tint="-0.249977111117893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rgb="FF000000"/>
      <name val="Calibri"/>
      <family val="2"/>
    </font>
    <font>
      <i/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24"/>
      <color theme="8" tint="-0.499984740745262"/>
      <name val="Arial"/>
      <family val="2"/>
    </font>
    <font>
      <sz val="10"/>
      <color theme="2" tint="-0.499984740745262"/>
      <name val="Calibri"/>
      <family val="2"/>
      <scheme val="minor"/>
    </font>
    <font>
      <b/>
      <sz val="12"/>
      <name val="Arial"/>
      <family val="2"/>
    </font>
    <font>
      <b/>
      <sz val="12"/>
      <color theme="2" tint="-0.499984740745262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4"/>
      <color theme="8" tint="-0.499984740745262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i/>
      <sz val="12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3"/>
      <name val="Calibri"/>
      <family val="2"/>
    </font>
    <font>
      <b/>
      <sz val="14"/>
      <color theme="4" tint="-0.249977111117893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b/>
      <sz val="11"/>
      <color theme="3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9" fontId="5" fillId="0" borderId="0" applyFont="0" applyFill="0" applyBorder="0" applyAlignment="0" applyProtection="0"/>
    <xf numFmtId="0" fontId="6" fillId="0" borderId="3" applyNumberFormat="0" applyFill="0" applyAlignment="0" applyProtection="0"/>
    <xf numFmtId="0" fontId="7" fillId="5" borderId="0" applyNumberFormat="0" applyBorder="0" applyAlignment="0" applyProtection="0"/>
    <xf numFmtId="0" fontId="5" fillId="6" borderId="0" applyNumberFormat="0" applyBorder="0" applyAlignment="0" applyProtection="0"/>
    <xf numFmtId="0" fontId="13" fillId="0" borderId="0" applyNumberFormat="0" applyFill="0" applyBorder="0" applyAlignment="0" applyProtection="0"/>
    <xf numFmtId="0" fontId="28" fillId="0" borderId="0"/>
    <xf numFmtId="0" fontId="48" fillId="0" borderId="29" applyNumberFormat="0" applyFill="0" applyAlignment="0" applyProtection="0"/>
  </cellStyleXfs>
  <cellXfs count="2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0" borderId="0" xfId="0" applyFont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1" fontId="3" fillId="7" borderId="7" xfId="2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8" fillId="12" borderId="8" xfId="0" applyFont="1" applyFill="1" applyBorder="1"/>
    <xf numFmtId="0" fontId="0" fillId="0" borderId="0" xfId="0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164" fontId="2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left" vertical="center" indent="1"/>
    </xf>
    <xf numFmtId="0" fontId="0" fillId="0" borderId="9" xfId="0" applyBorder="1"/>
    <xf numFmtId="0" fontId="19" fillId="0" borderId="0" xfId="0" applyFont="1"/>
    <xf numFmtId="0" fontId="21" fillId="3" borderId="9" xfId="1" applyFont="1" applyFill="1" applyBorder="1" applyAlignment="1" applyProtection="1">
      <alignment horizontal="left" vertical="center"/>
    </xf>
    <xf numFmtId="0" fontId="1" fillId="4" borderId="9" xfId="1" applyFill="1" applyBorder="1" applyAlignment="1" applyProtection="1">
      <alignment horizontal="left" vertical="center"/>
    </xf>
    <xf numFmtId="0" fontId="19" fillId="0" borderId="0" xfId="0" applyFont="1" applyAlignment="1">
      <alignment horizontal="center"/>
    </xf>
    <xf numFmtId="0" fontId="16" fillId="14" borderId="9" xfId="0" applyFont="1" applyFill="1" applyBorder="1" applyAlignment="1">
      <alignment horizontal="right" vertical="center" wrapText="1"/>
    </xf>
    <xf numFmtId="0" fontId="16" fillId="0" borderId="0" xfId="0" applyFont="1"/>
    <xf numFmtId="0" fontId="19" fillId="0" borderId="0" xfId="0" applyFont="1" applyAlignment="1">
      <alignment vertical="center"/>
    </xf>
    <xf numFmtId="0" fontId="23" fillId="0" borderId="0" xfId="0" applyFont="1"/>
    <xf numFmtId="0" fontId="19" fillId="0" borderId="0" xfId="0" applyFont="1" applyAlignment="1">
      <alignment vertical="center" wrapText="1"/>
    </xf>
    <xf numFmtId="0" fontId="16" fillId="18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19" borderId="9" xfId="0" applyFont="1" applyFill="1" applyBorder="1" applyAlignment="1">
      <alignment horizontal="center"/>
    </xf>
    <xf numFmtId="0" fontId="16" fillId="20" borderId="9" xfId="1" applyFont="1" applyFill="1" applyBorder="1" applyAlignment="1" applyProtection="1">
      <alignment horizontal="center" vertical="center"/>
    </xf>
    <xf numFmtId="0" fontId="16" fillId="22" borderId="9" xfId="1" applyFont="1" applyFill="1" applyBorder="1" applyAlignment="1" applyProtection="1">
      <alignment horizontal="center" vertical="center"/>
    </xf>
    <xf numFmtId="0" fontId="16" fillId="20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6" fillId="21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23" borderId="15" xfId="0" applyNumberFormat="1" applyFill="1" applyBorder="1" applyAlignment="1">
      <alignment horizontal="center"/>
    </xf>
    <xf numFmtId="0" fontId="22" fillId="21" borderId="9" xfId="0" applyFont="1" applyFill="1" applyBorder="1" applyAlignment="1">
      <alignment horizontal="center" vertical="center" wrapText="1"/>
    </xf>
    <xf numFmtId="164" fontId="0" fillId="23" borderId="16" xfId="0" applyNumberForma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16" fillId="14" borderId="17" xfId="0" applyFont="1" applyFill="1" applyBorder="1" applyAlignment="1">
      <alignment horizontal="right" vertical="center" wrapText="1"/>
    </xf>
    <xf numFmtId="0" fontId="16" fillId="0" borderId="9" xfId="0" applyFont="1" applyBorder="1"/>
    <xf numFmtId="0" fontId="16" fillId="18" borderId="9" xfId="6" applyFont="1" applyFill="1" applyBorder="1" applyAlignment="1">
      <alignment horizontal="center" vertical="center" wrapText="1"/>
    </xf>
    <xf numFmtId="0" fontId="16" fillId="14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2" fillId="18" borderId="0" xfId="0" applyFont="1" applyFill="1" applyAlignment="1">
      <alignment horizontal="righ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7" fontId="31" fillId="13" borderId="9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14" fillId="0" borderId="0" xfId="0" applyFont="1"/>
    <xf numFmtId="164" fontId="14" fillId="0" borderId="1" xfId="0" applyNumberFormat="1" applyFont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1" fontId="14" fillId="9" borderId="1" xfId="0" applyNumberFormat="1" applyFont="1" applyFill="1" applyBorder="1" applyAlignment="1">
      <alignment horizontal="center" vertical="center"/>
    </xf>
    <xf numFmtId="0" fontId="14" fillId="12" borderId="11" xfId="0" applyFont="1" applyFill="1" applyBorder="1" applyAlignment="1">
      <alignment horizontal="center" vertical="center"/>
    </xf>
    <xf numFmtId="0" fontId="21" fillId="3" borderId="2" xfId="1" applyFont="1" applyFill="1" applyBorder="1" applyAlignment="1" applyProtection="1">
      <alignment horizontal="left" vertical="center" wrapText="1"/>
    </xf>
    <xf numFmtId="0" fontId="1" fillId="4" borderId="2" xfId="1" applyFill="1" applyBorder="1" applyAlignment="1" applyProtection="1">
      <alignment horizontal="left" vertical="center" wrapText="1"/>
    </xf>
    <xf numFmtId="0" fontId="14" fillId="13" borderId="23" xfId="0" applyFont="1" applyFill="1" applyBorder="1" applyAlignment="1">
      <alignment horizontal="right" vertical="center"/>
    </xf>
    <xf numFmtId="0" fontId="14" fillId="13" borderId="24" xfId="0" applyFont="1" applyFill="1" applyBorder="1" applyAlignment="1">
      <alignment horizontal="right" vertical="center"/>
    </xf>
    <xf numFmtId="0" fontId="14" fillId="13" borderId="25" xfId="0" applyFont="1" applyFill="1" applyBorder="1" applyAlignment="1">
      <alignment horizontal="right" vertical="center"/>
    </xf>
    <xf numFmtId="0" fontId="19" fillId="0" borderId="0" xfId="0" applyFont="1" applyAlignment="1">
      <alignment wrapText="1"/>
    </xf>
    <xf numFmtId="167" fontId="31" fillId="15" borderId="1" xfId="0" applyNumberFormat="1" applyFont="1" applyFill="1" applyBorder="1" applyAlignment="1" applyProtection="1">
      <alignment horizontal="center" vertical="center"/>
      <protection locked="0"/>
    </xf>
    <xf numFmtId="0" fontId="11" fillId="13" borderId="1" xfId="0" applyFont="1" applyFill="1" applyBorder="1" applyAlignment="1" applyProtection="1">
      <alignment horizontal="left" vertical="center" wrapText="1"/>
      <protection locked="0"/>
    </xf>
    <xf numFmtId="0" fontId="14" fillId="15" borderId="1" xfId="0" applyFont="1" applyFill="1" applyBorder="1" applyAlignment="1" applyProtection="1">
      <alignment horizontal="right" vertical="center"/>
      <protection locked="0"/>
    </xf>
    <xf numFmtId="0" fontId="14" fillId="13" borderId="1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wrapText="1"/>
    </xf>
    <xf numFmtId="0" fontId="29" fillId="0" borderId="9" xfId="0" applyFont="1" applyBorder="1" applyAlignment="1">
      <alignment vertical="top"/>
    </xf>
    <xf numFmtId="2" fontId="29" fillId="0" borderId="9" xfId="0" applyNumberFormat="1" applyFont="1" applyBorder="1" applyAlignment="1">
      <alignment horizontal="right"/>
    </xf>
    <xf numFmtId="0" fontId="30" fillId="0" borderId="0" xfId="0" applyFont="1" applyAlignment="1">
      <alignment horizontal="left" vertical="center"/>
    </xf>
    <xf numFmtId="0" fontId="1" fillId="0" borderId="0" xfId="0" applyFont="1"/>
    <xf numFmtId="0" fontId="20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167" fontId="31" fillId="28" borderId="9" xfId="0" applyNumberFormat="1" applyFont="1" applyFill="1" applyBorder="1" applyAlignment="1">
      <alignment horizontal="right"/>
    </xf>
    <xf numFmtId="2" fontId="29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7" fillId="0" borderId="0" xfId="0" applyFont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2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6" fillId="26" borderId="9" xfId="0" applyFont="1" applyFill="1" applyBorder="1" applyAlignment="1">
      <alignment horizontal="left" vertical="center" wrapText="1"/>
    </xf>
    <xf numFmtId="0" fontId="16" fillId="26" borderId="9" xfId="0" applyFont="1" applyFill="1" applyBorder="1" applyAlignment="1">
      <alignment horizontal="center" vertical="center" wrapText="1"/>
    </xf>
    <xf numFmtId="0" fontId="16" fillId="25" borderId="1" xfId="0" applyFont="1" applyFill="1" applyBorder="1" applyAlignment="1">
      <alignment horizontal="center" vertical="center" wrapText="1"/>
    </xf>
    <xf numFmtId="1" fontId="8" fillId="0" borderId="11" xfId="0" applyNumberFormat="1" applyFont="1" applyBorder="1" applyAlignment="1" applyProtection="1">
      <alignment horizontal="center" vertical="center"/>
      <protection locked="0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1" fontId="8" fillId="0" borderId="1" xfId="2" applyNumberFormat="1" applyFont="1" applyFill="1" applyBorder="1" applyAlignment="1" applyProtection="1">
      <alignment horizontal="center" vertical="center"/>
      <protection locked="0"/>
    </xf>
    <xf numFmtId="0" fontId="16" fillId="25" borderId="9" xfId="0" applyFont="1" applyFill="1" applyBorder="1" applyAlignment="1">
      <alignment horizontal="center" vertical="center" wrapText="1"/>
    </xf>
    <xf numFmtId="0" fontId="17" fillId="3" borderId="9" xfId="1" applyFont="1" applyFill="1" applyBorder="1" applyAlignment="1" applyProtection="1">
      <alignment horizontal="left" vertical="center"/>
    </xf>
    <xf numFmtId="0" fontId="15" fillId="4" borderId="9" xfId="1" applyFont="1" applyFill="1" applyBorder="1" applyAlignment="1" applyProtection="1">
      <alignment horizontal="left" vertical="center"/>
    </xf>
    <xf numFmtId="0" fontId="2" fillId="28" borderId="9" xfId="0" applyFont="1" applyFill="1" applyBorder="1" applyAlignment="1">
      <alignment horizontal="center"/>
    </xf>
    <xf numFmtId="0" fontId="34" fillId="28" borderId="9" xfId="0" applyFont="1" applyFill="1" applyBorder="1" applyAlignment="1">
      <alignment horizontal="center"/>
    </xf>
    <xf numFmtId="1" fontId="40" fillId="27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2" fontId="29" fillId="0" borderId="0" xfId="0" applyNumberFormat="1" applyFont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vertical="top"/>
    </xf>
    <xf numFmtId="2" fontId="23" fillId="0" borderId="0" xfId="0" applyNumberFormat="1" applyFont="1" applyAlignment="1">
      <alignment horizontal="right"/>
    </xf>
    <xf numFmtId="0" fontId="2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0" fillId="0" borderId="18" xfId="0" applyBorder="1"/>
    <xf numFmtId="0" fontId="38" fillId="0" borderId="0" xfId="0" applyFont="1" applyAlignment="1">
      <alignment vertical="center"/>
    </xf>
    <xf numFmtId="1" fontId="25" fillId="27" borderId="1" xfId="0" applyNumberFormat="1" applyFont="1" applyFill="1" applyBorder="1" applyAlignment="1">
      <alignment horizontal="center" vertical="center"/>
    </xf>
    <xf numFmtId="1" fontId="25" fillId="27" borderId="1" xfId="2" applyNumberFormat="1" applyFont="1" applyFill="1" applyBorder="1" applyAlignment="1">
      <alignment horizontal="center" vertical="center"/>
    </xf>
    <xf numFmtId="0" fontId="16" fillId="25" borderId="1" xfId="0" applyFont="1" applyFill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6" fillId="25" borderId="1" xfId="0" applyFont="1" applyFill="1" applyBorder="1" applyAlignment="1">
      <alignment horizontal="right" vertical="center"/>
    </xf>
    <xf numFmtId="0" fontId="16" fillId="25" borderId="1" xfId="0" applyFont="1" applyFill="1" applyBorder="1" applyAlignment="1">
      <alignment horizontal="center" vertical="center"/>
    </xf>
    <xf numFmtId="0" fontId="29" fillId="0" borderId="0" xfId="0" applyFont="1" applyAlignment="1">
      <alignment vertical="top"/>
    </xf>
    <xf numFmtId="0" fontId="2" fillId="27" borderId="1" xfId="0" applyFont="1" applyFill="1" applyBorder="1" applyAlignment="1">
      <alignment vertical="top"/>
    </xf>
    <xf numFmtId="0" fontId="2" fillId="27" borderId="1" xfId="0" applyFont="1" applyFill="1" applyBorder="1" applyAlignment="1">
      <alignment vertical="center"/>
    </xf>
    <xf numFmtId="9" fontId="39" fillId="27" borderId="1" xfId="0" applyNumberFormat="1" applyFont="1" applyFill="1" applyBorder="1" applyAlignment="1">
      <alignment horizontal="center" vertical="center"/>
    </xf>
    <xf numFmtId="9" fontId="39" fillId="27" borderId="1" xfId="2" applyFont="1" applyFill="1" applyBorder="1" applyAlignment="1">
      <alignment horizontal="center" vertical="center"/>
    </xf>
    <xf numFmtId="2" fontId="5" fillId="28" borderId="9" xfId="0" applyNumberFormat="1" applyFont="1" applyFill="1" applyBorder="1" applyAlignment="1">
      <alignment horizontal="center"/>
    </xf>
    <xf numFmtId="168" fontId="8" fillId="28" borderId="9" xfId="0" applyNumberFormat="1" applyFont="1" applyFill="1" applyBorder="1" applyAlignment="1">
      <alignment horizontal="center"/>
    </xf>
    <xf numFmtId="9" fontId="25" fillId="27" borderId="1" xfId="0" applyNumberFormat="1" applyFont="1" applyFill="1" applyBorder="1" applyAlignment="1">
      <alignment horizontal="right"/>
    </xf>
    <xf numFmtId="9" fontId="25" fillId="27" borderId="1" xfId="2" applyFont="1" applyFill="1" applyBorder="1" applyAlignment="1">
      <alignment horizontal="right"/>
    </xf>
    <xf numFmtId="0" fontId="5" fillId="28" borderId="9" xfId="0" applyFont="1" applyFill="1" applyBorder="1" applyAlignment="1">
      <alignment horizontal="center"/>
    </xf>
    <xf numFmtId="0" fontId="0" fillId="0" borderId="12" xfId="0" applyBorder="1"/>
    <xf numFmtId="0" fontId="0" fillId="0" borderId="20" xfId="0" applyBorder="1"/>
    <xf numFmtId="0" fontId="16" fillId="14" borderId="1" xfId="0" applyFont="1" applyFill="1" applyBorder="1" applyAlignment="1">
      <alignment vertical="center"/>
    </xf>
    <xf numFmtId="0" fontId="0" fillId="0" borderId="26" xfId="0" applyBorder="1"/>
    <xf numFmtId="164" fontId="5" fillId="28" borderId="9" xfId="0" applyNumberFormat="1" applyFont="1" applyFill="1" applyBorder="1" applyAlignment="1">
      <alignment horizontal="center"/>
    </xf>
    <xf numFmtId="0" fontId="2" fillId="16" borderId="1" xfId="0" applyFont="1" applyFill="1" applyBorder="1" applyAlignment="1">
      <alignment vertical="center"/>
    </xf>
    <xf numFmtId="0" fontId="16" fillId="14" borderId="1" xfId="0" applyFont="1" applyFill="1" applyBorder="1" applyAlignment="1">
      <alignment horizontal="center" vertical="center"/>
    </xf>
    <xf numFmtId="9" fontId="25" fillId="13" borderId="1" xfId="0" applyNumberFormat="1" applyFont="1" applyFill="1" applyBorder="1" applyAlignment="1">
      <alignment horizontal="center" vertical="center"/>
    </xf>
    <xf numFmtId="9" fontId="25" fillId="13" borderId="1" xfId="2" applyFont="1" applyFill="1" applyBorder="1" applyAlignment="1">
      <alignment horizontal="center" vertical="center"/>
    </xf>
    <xf numFmtId="0" fontId="0" fillId="28" borderId="9" xfId="0" applyFill="1" applyBorder="1"/>
    <xf numFmtId="0" fontId="0" fillId="28" borderId="28" xfId="0" applyFill="1" applyBorder="1"/>
    <xf numFmtId="1" fontId="22" fillId="27" borderId="9" xfId="0" applyNumberFormat="1" applyFont="1" applyFill="1" applyBorder="1" applyAlignment="1">
      <alignment horizontal="center" vertical="center"/>
    </xf>
    <xf numFmtId="1" fontId="22" fillId="27" borderId="9" xfId="2" applyNumberFormat="1" applyFont="1" applyFill="1" applyBorder="1" applyAlignment="1">
      <alignment horizontal="center" vertical="center"/>
    </xf>
    <xf numFmtId="0" fontId="17" fillId="28" borderId="9" xfId="0" applyFont="1" applyFill="1" applyBorder="1" applyAlignment="1">
      <alignment horizontal="center"/>
    </xf>
    <xf numFmtId="168" fontId="8" fillId="28" borderId="9" xfId="0" applyNumberFormat="1" applyFont="1" applyFill="1" applyBorder="1" applyAlignment="1">
      <alignment horizontal="right"/>
    </xf>
    <xf numFmtId="168" fontId="14" fillId="28" borderId="9" xfId="0" applyNumberFormat="1" applyFont="1" applyFill="1" applyBorder="1" applyAlignment="1">
      <alignment horizontal="center"/>
    </xf>
    <xf numFmtId="164" fontId="8" fillId="23" borderId="16" xfId="0" applyNumberFormat="1" applyFont="1" applyFill="1" applyBorder="1" applyAlignment="1">
      <alignment horizontal="center" vertical="center"/>
    </xf>
    <xf numFmtId="164" fontId="47" fillId="23" borderId="1" xfId="0" applyNumberFormat="1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5" fontId="15" fillId="20" borderId="9" xfId="0" applyNumberFormat="1" applyFont="1" applyFill="1" applyBorder="1" applyAlignment="1">
      <alignment horizontal="center" vertical="center"/>
    </xf>
    <xf numFmtId="166" fontId="27" fillId="20" borderId="1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52" fillId="0" borderId="0" xfId="0" applyFont="1" applyAlignment="1">
      <alignment horizontal="center"/>
    </xf>
    <xf numFmtId="0" fontId="52" fillId="0" borderId="0" xfId="0" applyFont="1" applyAlignment="1">
      <alignment horizontal="center" wrapText="1"/>
    </xf>
    <xf numFmtId="0" fontId="52" fillId="0" borderId="0" xfId="0" applyFont="1" applyAlignment="1">
      <alignment vertical="top" wrapText="1"/>
    </xf>
    <xf numFmtId="0" fontId="6" fillId="0" borderId="3" xfId="3" applyAlignment="1">
      <alignment vertical="top" wrapText="1"/>
    </xf>
    <xf numFmtId="0" fontId="0" fillId="0" borderId="0" xfId="0" applyAlignment="1">
      <alignment vertical="top" wrapText="1"/>
    </xf>
    <xf numFmtId="0" fontId="52" fillId="0" borderId="0" xfId="0" applyFont="1" applyAlignment="1">
      <alignment horizontal="left" vertical="top" wrapText="1"/>
    </xf>
    <xf numFmtId="0" fontId="5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1" fillId="16" borderId="1" xfId="0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vertical="top" wrapText="1"/>
    </xf>
    <xf numFmtId="0" fontId="54" fillId="0" borderId="0" xfId="0" applyFont="1" applyAlignment="1">
      <alignment vertical="top" wrapText="1"/>
    </xf>
    <xf numFmtId="0" fontId="53" fillId="0" borderId="0" xfId="0" applyFont="1" applyAlignment="1">
      <alignment horizontal="center" vertical="center"/>
    </xf>
    <xf numFmtId="0" fontId="55" fillId="0" borderId="0" xfId="0" applyFont="1" applyAlignment="1">
      <alignment wrapText="1"/>
    </xf>
    <xf numFmtId="0" fontId="53" fillId="0" borderId="0" xfId="0" applyFont="1" applyAlignment="1">
      <alignment vertical="center" wrapText="1"/>
    </xf>
    <xf numFmtId="0" fontId="55" fillId="0" borderId="0" xfId="0" applyFont="1" applyAlignment="1">
      <alignment vertical="top" wrapText="1"/>
    </xf>
    <xf numFmtId="0" fontId="53" fillId="0" borderId="0" xfId="0" applyFont="1" applyAlignment="1">
      <alignment horizontal="left"/>
    </xf>
    <xf numFmtId="0" fontId="53" fillId="0" borderId="0" xfId="0" applyFont="1" applyAlignment="1">
      <alignment horizontal="center" vertical="center"/>
    </xf>
    <xf numFmtId="0" fontId="50" fillId="0" borderId="29" xfId="8" applyFont="1" applyAlignment="1">
      <alignment horizontal="right"/>
    </xf>
    <xf numFmtId="0" fontId="48" fillId="0" borderId="29" xfId="8" applyAlignment="1">
      <alignment horizontal="right"/>
    </xf>
    <xf numFmtId="0" fontId="49" fillId="0" borderId="3" xfId="3" applyFont="1" applyAlignment="1">
      <alignment horizontal="left"/>
    </xf>
    <xf numFmtId="0" fontId="11" fillId="0" borderId="30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49" fillId="0" borderId="0" xfId="3" applyFont="1" applyBorder="1" applyAlignment="1">
      <alignment horizontal="left"/>
    </xf>
    <xf numFmtId="0" fontId="53" fillId="0" borderId="0" xfId="0" applyFont="1" applyAlignment="1">
      <alignment horizontal="center"/>
    </xf>
    <xf numFmtId="0" fontId="53" fillId="0" borderId="0" xfId="6" applyFont="1" applyFill="1" applyBorder="1" applyAlignment="1">
      <alignment horizontal="center" vertical="center"/>
    </xf>
    <xf numFmtId="0" fontId="44" fillId="15" borderId="27" xfId="3" applyFont="1" applyFill="1" applyBorder="1" applyAlignment="1">
      <alignment horizontal="center" vertical="center"/>
    </xf>
    <xf numFmtId="0" fontId="33" fillId="15" borderId="27" xfId="3" applyFont="1" applyFill="1" applyBorder="1" applyAlignment="1">
      <alignment horizontal="center" vertical="center"/>
    </xf>
    <xf numFmtId="0" fontId="25" fillId="22" borderId="10" xfId="0" applyFont="1" applyFill="1" applyBorder="1" applyAlignment="1">
      <alignment horizontal="center" vertical="center" wrapText="1"/>
    </xf>
    <xf numFmtId="0" fontId="16" fillId="22" borderId="20" xfId="0" applyFont="1" applyFill="1" applyBorder="1" applyAlignment="1">
      <alignment horizontal="center" vertical="center" wrapText="1"/>
    </xf>
    <xf numFmtId="0" fontId="25" fillId="24" borderId="10" xfId="0" applyFont="1" applyFill="1" applyBorder="1" applyAlignment="1">
      <alignment horizontal="center" vertical="center" wrapText="1"/>
    </xf>
    <xf numFmtId="0" fontId="16" fillId="24" borderId="20" xfId="0" applyFont="1" applyFill="1" applyBorder="1" applyAlignment="1">
      <alignment horizontal="center" vertical="center" wrapText="1"/>
    </xf>
    <xf numFmtId="0" fontId="25" fillId="20" borderId="9" xfId="0" applyFont="1" applyFill="1" applyBorder="1" applyAlignment="1">
      <alignment horizontal="center" vertical="center" wrapText="1"/>
    </xf>
    <xf numFmtId="0" fontId="16" fillId="20" borderId="9" xfId="0" applyFont="1" applyFill="1" applyBorder="1" applyAlignment="1">
      <alignment horizontal="center" vertical="center" wrapText="1"/>
    </xf>
    <xf numFmtId="0" fontId="22" fillId="22" borderId="9" xfId="0" applyFont="1" applyFill="1" applyBorder="1" applyAlignment="1">
      <alignment horizontal="center" vertical="center"/>
    </xf>
    <xf numFmtId="0" fontId="22" fillId="24" borderId="9" xfId="0" applyFont="1" applyFill="1" applyBorder="1" applyAlignment="1">
      <alignment horizontal="center" vertical="center"/>
    </xf>
    <xf numFmtId="0" fontId="22" fillId="20" borderId="12" xfId="0" applyFont="1" applyFill="1" applyBorder="1" applyAlignment="1">
      <alignment horizontal="center" vertical="center"/>
    </xf>
    <xf numFmtId="0" fontId="22" fillId="20" borderId="0" xfId="0" applyFont="1" applyFill="1" applyAlignment="1">
      <alignment horizontal="center" vertical="center"/>
    </xf>
    <xf numFmtId="0" fontId="16" fillId="17" borderId="9" xfId="0" applyFont="1" applyFill="1" applyBorder="1" applyAlignment="1">
      <alignment horizontal="center" vertical="center" wrapText="1"/>
    </xf>
    <xf numFmtId="0" fontId="16" fillId="17" borderId="21" xfId="0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0" fontId="16" fillId="17" borderId="10" xfId="0" applyFont="1" applyFill="1" applyBorder="1" applyAlignment="1">
      <alignment horizontal="center" vertical="center" wrapText="1"/>
    </xf>
    <xf numFmtId="0" fontId="16" fillId="17" borderId="26" xfId="0" applyFont="1" applyFill="1" applyBorder="1" applyAlignment="1">
      <alignment horizontal="center" vertical="center" wrapText="1"/>
    </xf>
    <xf numFmtId="0" fontId="16" fillId="17" borderId="10" xfId="0" applyFont="1" applyFill="1" applyBorder="1" applyAlignment="1">
      <alignment horizontal="center" vertical="center"/>
    </xf>
    <xf numFmtId="0" fontId="16" fillId="17" borderId="22" xfId="0" applyFont="1" applyFill="1" applyBorder="1" applyAlignment="1">
      <alignment horizontal="center" vertical="center"/>
    </xf>
    <xf numFmtId="0" fontId="25" fillId="26" borderId="17" xfId="5" applyFont="1" applyFill="1" applyBorder="1" applyAlignment="1">
      <alignment horizontal="center" vertical="center" wrapText="1"/>
    </xf>
    <xf numFmtId="0" fontId="25" fillId="26" borderId="19" xfId="5" applyFont="1" applyFill="1" applyBorder="1" applyAlignment="1">
      <alignment horizontal="center" vertical="center" wrapText="1"/>
    </xf>
    <xf numFmtId="0" fontId="25" fillId="26" borderId="18" xfId="5" applyFont="1" applyFill="1" applyBorder="1" applyAlignment="1">
      <alignment horizontal="center" vertical="center" wrapText="1"/>
    </xf>
    <xf numFmtId="0" fontId="22" fillId="2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5" fillId="12" borderId="12" xfId="6" applyFont="1" applyFill="1" applyBorder="1" applyAlignment="1">
      <alignment horizontal="right" vertical="center" wrapText="1"/>
    </xf>
    <xf numFmtId="0" fontId="35" fillId="12" borderId="0" xfId="6" applyFont="1" applyFill="1" applyBorder="1" applyAlignment="1">
      <alignment horizontal="right" vertical="center" wrapText="1"/>
    </xf>
    <xf numFmtId="0" fontId="35" fillId="12" borderId="14" xfId="6" applyFont="1" applyFill="1" applyBorder="1" applyAlignment="1">
      <alignment horizontal="right" vertical="center" wrapText="1"/>
    </xf>
    <xf numFmtId="0" fontId="22" fillId="26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6" fillId="25" borderId="0" xfId="0" applyFont="1" applyFill="1" applyAlignment="1">
      <alignment horizontal="left" vertical="center" wrapText="1"/>
    </xf>
    <xf numFmtId="0" fontId="16" fillId="25" borderId="4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43" fillId="27" borderId="1" xfId="7" applyFont="1" applyFill="1" applyBorder="1" applyAlignment="1">
      <alignment horizontal="left" vertical="center" wrapText="1"/>
    </xf>
    <xf numFmtId="0" fontId="11" fillId="27" borderId="1" xfId="0" applyFont="1" applyFill="1" applyBorder="1" applyAlignment="1">
      <alignment horizontal="left" vertical="center" wrapText="1"/>
    </xf>
    <xf numFmtId="0" fontId="25" fillId="26" borderId="9" xfId="5" applyFont="1" applyFill="1" applyBorder="1" applyAlignment="1">
      <alignment horizontal="left" vertical="center" wrapText="1"/>
    </xf>
    <xf numFmtId="0" fontId="16" fillId="25" borderId="1" xfId="0" applyFont="1" applyFill="1" applyBorder="1" applyAlignment="1">
      <alignment horizontal="left" vertical="center" wrapText="1"/>
    </xf>
    <xf numFmtId="0" fontId="9" fillId="5" borderId="0" xfId="4" applyFont="1" applyAlignment="1">
      <alignment horizontal="center" vertical="center"/>
    </xf>
    <xf numFmtId="0" fontId="9" fillId="5" borderId="4" xfId="4" applyFont="1" applyBorder="1" applyAlignment="1">
      <alignment horizontal="center" vertical="center"/>
    </xf>
    <xf numFmtId="0" fontId="9" fillId="5" borderId="5" xfId="4" applyFont="1" applyBorder="1" applyAlignment="1">
      <alignment horizontal="center" vertical="center"/>
    </xf>
    <xf numFmtId="0" fontId="9" fillId="5" borderId="6" xfId="4" applyFont="1" applyBorder="1" applyAlignment="1">
      <alignment horizontal="center" vertical="center"/>
    </xf>
    <xf numFmtId="0" fontId="7" fillId="5" borderId="0" xfId="4" applyAlignment="1">
      <alignment horizontal="center" vertical="center"/>
    </xf>
    <xf numFmtId="0" fontId="7" fillId="5" borderId="5" xfId="4" applyBorder="1" applyAlignment="1">
      <alignment horizontal="center" vertical="center"/>
    </xf>
    <xf numFmtId="0" fontId="7" fillId="5" borderId="4" xfId="4" applyBorder="1" applyAlignment="1">
      <alignment horizontal="center" vertical="center"/>
    </xf>
    <xf numFmtId="0" fontId="7" fillId="5" borderId="6" xfId="4" applyBorder="1" applyAlignment="1">
      <alignment horizontal="center" vertical="center"/>
    </xf>
    <xf numFmtId="0" fontId="25" fillId="26" borderId="17" xfId="5" applyFont="1" applyFill="1" applyBorder="1" applyAlignment="1">
      <alignment horizontal="left" vertical="center" wrapText="1"/>
    </xf>
    <xf numFmtId="0" fontId="25" fillId="26" borderId="19" xfId="5" applyFont="1" applyFill="1" applyBorder="1" applyAlignment="1">
      <alignment horizontal="left" vertical="center" wrapText="1"/>
    </xf>
    <xf numFmtId="0" fontId="25" fillId="26" borderId="18" xfId="5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6" fillId="21" borderId="14" xfId="0" applyFont="1" applyFill="1" applyBorder="1" applyAlignment="1">
      <alignment horizontal="center" vertical="center"/>
    </xf>
    <xf numFmtId="0" fontId="26" fillId="21" borderId="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6" fillId="25" borderId="1" xfId="0" applyFont="1" applyFill="1" applyBorder="1" applyAlignment="1">
      <alignment horizontal="center" vertical="center"/>
    </xf>
    <xf numFmtId="9" fontId="8" fillId="15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9" fontId="8" fillId="15" borderId="1" xfId="2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>
      <alignment horizontal="center" vertical="center"/>
    </xf>
    <xf numFmtId="0" fontId="16" fillId="25" borderId="1" xfId="0" applyFont="1" applyFill="1" applyBorder="1" applyAlignment="1">
      <alignment horizontal="center" vertical="center" wrapText="1"/>
    </xf>
    <xf numFmtId="9" fontId="0" fillId="15" borderId="2" xfId="0" applyNumberFormat="1" applyFill="1" applyBorder="1" applyAlignment="1" applyProtection="1">
      <alignment horizontal="center"/>
      <protection locked="0"/>
    </xf>
    <xf numFmtId="9" fontId="0" fillId="15" borderId="13" xfId="0" applyNumberFormat="1" applyFill="1" applyBorder="1" applyAlignment="1" applyProtection="1">
      <alignment horizontal="center"/>
      <protection locked="0"/>
    </xf>
    <xf numFmtId="9" fontId="0" fillId="15" borderId="2" xfId="2" applyFont="1" applyFill="1" applyBorder="1" applyAlignment="1" applyProtection="1">
      <alignment horizontal="center"/>
      <protection locked="0"/>
    </xf>
    <xf numFmtId="9" fontId="0" fillId="15" borderId="13" xfId="2" applyFont="1" applyFill="1" applyBorder="1" applyAlignment="1" applyProtection="1">
      <alignment horizontal="center"/>
      <protection locked="0"/>
    </xf>
    <xf numFmtId="1" fontId="0" fillId="15" borderId="1" xfId="0" applyNumberFormat="1" applyFill="1" applyBorder="1" applyAlignment="1" applyProtection="1">
      <alignment horizontal="center" vertical="center"/>
      <protection locked="0"/>
    </xf>
    <xf numFmtId="1" fontId="0" fillId="15" borderId="1" xfId="2" applyNumberFormat="1" applyFont="1" applyFill="1" applyBorder="1" applyAlignment="1" applyProtection="1">
      <alignment horizontal="center" vertical="center"/>
      <protection locked="0"/>
    </xf>
    <xf numFmtId="9" fontId="0" fillId="15" borderId="2" xfId="0" applyNumberFormat="1" applyFill="1" applyBorder="1" applyAlignment="1" applyProtection="1">
      <alignment horizontal="center" vertical="center"/>
      <protection locked="0"/>
    </xf>
    <xf numFmtId="9" fontId="0" fillId="15" borderId="13" xfId="0" applyNumberFormat="1" applyFill="1" applyBorder="1" applyAlignment="1" applyProtection="1">
      <alignment horizontal="center" vertical="center"/>
      <protection locked="0"/>
    </xf>
    <xf numFmtId="9" fontId="0" fillId="15" borderId="2" xfId="2" applyFont="1" applyFill="1" applyBorder="1" applyAlignment="1" applyProtection="1">
      <alignment horizontal="center" vertical="center"/>
      <protection locked="0"/>
    </xf>
    <xf numFmtId="9" fontId="0" fillId="15" borderId="13" xfId="2" applyFont="1" applyFill="1" applyBorder="1" applyAlignment="1" applyProtection="1">
      <alignment horizontal="center" vertical="center"/>
      <protection locked="0"/>
    </xf>
    <xf numFmtId="9" fontId="0" fillId="15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9" fontId="0" fillId="15" borderId="1" xfId="2" applyFont="1" applyFill="1" applyBorder="1" applyAlignment="1" applyProtection="1">
      <alignment horizontal="center" vertical="center"/>
      <protection locked="0"/>
    </xf>
    <xf numFmtId="0" fontId="16" fillId="14" borderId="1" xfId="0" applyFont="1" applyFill="1" applyBorder="1" applyAlignment="1">
      <alignment horizontal="center" vertical="center"/>
    </xf>
  </cellXfs>
  <cellStyles count="9">
    <cellStyle name="60% - Accent1" xfId="5" builtinId="32"/>
    <cellStyle name="Accent4" xfId="1" builtinId="41"/>
    <cellStyle name="Heading 1" xfId="8" builtinId="16"/>
    <cellStyle name="Heading 2" xfId="3" builtinId="17"/>
    <cellStyle name="Hyperlink" xfId="6" builtinId="8"/>
    <cellStyle name="Neutral" xfId="4" builtinId="28"/>
    <cellStyle name="Normal" xfId="0" builtinId="0"/>
    <cellStyle name="Normal 2" xfId="7" xr:uid="{00000000-0005-0000-0000-000031000000}"/>
    <cellStyle name="Percent" xfId="2" builtinId="5"/>
  </cellStyles>
  <dxfs count="33"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8" tint="0.59996337778862885"/>
        </patternFill>
      </fill>
    </dxf>
    <dxf>
      <font>
        <b/>
        <i val="0"/>
        <color theme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rgb="FFF2D2EE"/>
        </patternFill>
      </fill>
    </dxf>
    <dxf>
      <fill>
        <patternFill>
          <bgColor rgb="FFF2D2EE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2D2EE"/>
      <color rgb="FFB61C3D"/>
      <color rgb="FFAC24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hartsheet" Target="chartsheets/sheet2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Design Factor 1 </a:t>
            </a:r>
            <a:r>
              <a:rPr lang="en-US" sz="1200" i="1"/>
              <a:t>Enterprise Strategy</a:t>
            </a:r>
          </a:p>
          <a:p>
            <a:pPr>
              <a:defRPr sz="1200"/>
            </a:pPr>
            <a:r>
              <a:rPr lang="en-US" sz="1200"/>
              <a:t>Importance of different strategies (Input)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07-47AC-A3EF-51184031CED6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15-4378-A2A7-77F022F35612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15-4378-A2A7-77F022F35612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B6-41D6-B4E4-63AB6D3733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'DF1'!$A$7:$C$10</c:f>
              <c:multiLvlStrCache>
                <c:ptCount val="4"/>
                <c:lvl/>
                <c:lvl/>
                <c:lvl>
                  <c:pt idx="0">
                    <c:v>Growth/Acquisition</c:v>
                  </c:pt>
                  <c:pt idx="1">
                    <c:v>Innovation/Differentiation</c:v>
                  </c:pt>
                  <c:pt idx="2">
                    <c:v>Cost Leadership</c:v>
                  </c:pt>
                  <c:pt idx="3">
                    <c:v>Client Service/Stability</c:v>
                  </c:pt>
                </c:lvl>
              </c:multiLvlStrCache>
            </c:multiLvlStrRef>
          </c:cat>
          <c:val>
            <c:numRef>
              <c:f>'DF1'!$D$7:$D$10</c:f>
              <c:numCache>
                <c:formatCode>0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07-47AC-A3EF-51184031C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01629848"/>
        <c:axId val="801625584"/>
      </c:barChart>
      <c:catAx>
        <c:axId val="801629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5584"/>
        <c:crosses val="autoZero"/>
        <c:auto val="1"/>
        <c:lblAlgn val="ctr"/>
        <c:lblOffset val="100"/>
        <c:noMultiLvlLbl val="0"/>
      </c:catAx>
      <c:valAx>
        <c:axId val="801625584"/>
        <c:scaling>
          <c:orientation val="minMax"/>
          <c:max val="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9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Design Factor 1 </a:t>
            </a:r>
            <a:r>
              <a:rPr lang="en-US" sz="1200" i="1"/>
              <a:t>Enterprise Strategy</a:t>
            </a:r>
          </a:p>
          <a:p>
            <a:pPr>
              <a:defRPr sz="1200"/>
            </a:pPr>
            <a:r>
              <a:rPr lang="en-US" sz="1200"/>
              <a:t>Resulting Governance/Management Objectives Importance (Output)</a:t>
            </a:r>
          </a:p>
        </c:rich>
      </c:tx>
      <c:layout>
        <c:manualLayout>
          <c:xMode val="edge"/>
          <c:yMode val="edge"/>
          <c:x val="0.17083390652790609"/>
          <c:y val="6.51167174320022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2D2EE"/>
            </a:solidFill>
            <a:ln w="9525" cap="flat" cmpd="sng" algn="ctr">
              <a:noFill/>
              <a:round/>
            </a:ln>
            <a:effectLst/>
          </c:spPr>
          <c:invertIfNegative val="0"/>
          <c:cat>
            <c:strRef>
              <c:f>'DF1'!$A$22:$A$61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'DF1'!$D$22:$D$61</c:f>
              <c:numCache>
                <c:formatCode>###0;[Red]\-###0</c:formatCode>
                <c:ptCount val="40"/>
                <c:pt idx="0">
                  <c:v>5</c:v>
                </c:pt>
                <c:pt idx="1">
                  <c:v>20</c:v>
                </c:pt>
                <c:pt idx="2">
                  <c:v>15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-20</c:v>
                </c:pt>
                <c:pt idx="7">
                  <c:v>-15</c:v>
                </c:pt>
                <c:pt idx="8">
                  <c:v>-15</c:v>
                </c:pt>
                <c:pt idx="9">
                  <c:v>-15</c:v>
                </c:pt>
                <c:pt idx="10">
                  <c:v>0</c:v>
                </c:pt>
                <c:pt idx="11">
                  <c:v>-5</c:v>
                </c:pt>
                <c:pt idx="12">
                  <c:v>20</c:v>
                </c:pt>
                <c:pt idx="13">
                  <c:v>25</c:v>
                </c:pt>
                <c:pt idx="14">
                  <c:v>5</c:v>
                </c:pt>
                <c:pt idx="15">
                  <c:v>30</c:v>
                </c:pt>
                <c:pt idx="16">
                  <c:v>15</c:v>
                </c:pt>
                <c:pt idx="17">
                  <c:v>20</c:v>
                </c:pt>
                <c:pt idx="18">
                  <c:v>0</c:v>
                </c:pt>
                <c:pt idx="19">
                  <c:v>-10</c:v>
                </c:pt>
                <c:pt idx="20">
                  <c:v>0</c:v>
                </c:pt>
                <c:pt idx="21">
                  <c:v>0</c:v>
                </c:pt>
                <c:pt idx="22">
                  <c:v>20</c:v>
                </c:pt>
                <c:pt idx="23">
                  <c:v>-10</c:v>
                </c:pt>
                <c:pt idx="24">
                  <c:v>-5</c:v>
                </c:pt>
                <c:pt idx="25">
                  <c:v>-5</c:v>
                </c:pt>
                <c:pt idx="26">
                  <c:v>-15</c:v>
                </c:pt>
                <c:pt idx="27">
                  <c:v>0</c:v>
                </c:pt>
                <c:pt idx="28">
                  <c:v>0</c:v>
                </c:pt>
                <c:pt idx="29">
                  <c:v>-15</c:v>
                </c:pt>
                <c:pt idx="30">
                  <c:v>5</c:v>
                </c:pt>
                <c:pt idx="31">
                  <c:v>30</c:v>
                </c:pt>
                <c:pt idx="32">
                  <c:v>20</c:v>
                </c:pt>
                <c:pt idx="33">
                  <c:v>30</c:v>
                </c:pt>
                <c:pt idx="34">
                  <c:v>20</c:v>
                </c:pt>
                <c:pt idx="35">
                  <c:v>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D-47AA-BBAF-B26B1677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;[Red]\-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solidFill>
                  <a:schemeClr val="bg2">
                    <a:lumMod val="50000"/>
                  </a:schemeClr>
                </a:solidFill>
                <a:effectLst/>
              </a:rPr>
              <a:t>Design Factor 1 </a:t>
            </a:r>
            <a:r>
              <a:rPr lang="en-US" sz="1200" b="0" i="1" baseline="0">
                <a:solidFill>
                  <a:schemeClr val="bg2">
                    <a:lumMod val="50000"/>
                  </a:schemeClr>
                </a:solidFill>
                <a:effectLst/>
              </a:rPr>
              <a:t>Enterprise Strategy</a:t>
            </a:r>
            <a:endParaRPr lang="en-GB" sz="1200" i="1">
              <a:solidFill>
                <a:schemeClr val="bg2">
                  <a:lumMod val="50000"/>
                </a:schemeClr>
              </a:solidFill>
              <a:effectLst/>
            </a:endParaRPr>
          </a:p>
          <a:p>
            <a:pPr>
              <a:defRPr sz="1200">
                <a:solidFill>
                  <a:schemeClr val="bg2">
                    <a:lumMod val="50000"/>
                  </a:schemeClr>
                </a:solidFill>
              </a:defRPr>
            </a:pPr>
            <a:r>
              <a:rPr lang="en-US" sz="1200" b="0" i="0" baseline="0">
                <a:solidFill>
                  <a:schemeClr val="bg2">
                    <a:lumMod val="50000"/>
                  </a:schemeClr>
                </a:solidFill>
                <a:effectLst/>
              </a:rPr>
              <a:t>Resulting Governance/Management Objectives Importance (Output)</a:t>
            </a:r>
            <a:endParaRPr lang="en-GB" sz="1200">
              <a:solidFill>
                <a:schemeClr val="bg2">
                  <a:lumMod val="50000"/>
                </a:schemeClr>
              </a:solidFill>
              <a:effectLst/>
            </a:endParaRPr>
          </a:p>
        </c:rich>
      </c:tx>
      <c:layout>
        <c:manualLayout>
          <c:xMode val="edge"/>
          <c:yMode val="edge"/>
          <c:x val="0.14333077421754428"/>
          <c:y val="6.68238752410526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>
                <a:alpha val="75000"/>
              </a:srgbClr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cat>
            <c:strRef>
              <c:f>'DF1'!$A$22:$A$61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'DF1'!$D$22:$D$61</c:f>
              <c:numCache>
                <c:formatCode>###0;[Red]\-###0</c:formatCode>
                <c:ptCount val="40"/>
                <c:pt idx="0">
                  <c:v>5</c:v>
                </c:pt>
                <c:pt idx="1">
                  <c:v>20</c:v>
                </c:pt>
                <c:pt idx="2">
                  <c:v>15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-20</c:v>
                </c:pt>
                <c:pt idx="7">
                  <c:v>-15</c:v>
                </c:pt>
                <c:pt idx="8">
                  <c:v>-15</c:v>
                </c:pt>
                <c:pt idx="9">
                  <c:v>-15</c:v>
                </c:pt>
                <c:pt idx="10">
                  <c:v>0</c:v>
                </c:pt>
                <c:pt idx="11">
                  <c:v>-5</c:v>
                </c:pt>
                <c:pt idx="12">
                  <c:v>20</c:v>
                </c:pt>
                <c:pt idx="13">
                  <c:v>25</c:v>
                </c:pt>
                <c:pt idx="14">
                  <c:v>5</c:v>
                </c:pt>
                <c:pt idx="15">
                  <c:v>30</c:v>
                </c:pt>
                <c:pt idx="16">
                  <c:v>15</c:v>
                </c:pt>
                <c:pt idx="17">
                  <c:v>20</c:v>
                </c:pt>
                <c:pt idx="18">
                  <c:v>0</c:v>
                </c:pt>
                <c:pt idx="19">
                  <c:v>-10</c:v>
                </c:pt>
                <c:pt idx="20">
                  <c:v>0</c:v>
                </c:pt>
                <c:pt idx="21">
                  <c:v>0</c:v>
                </c:pt>
                <c:pt idx="22">
                  <c:v>20</c:v>
                </c:pt>
                <c:pt idx="23">
                  <c:v>-10</c:v>
                </c:pt>
                <c:pt idx="24">
                  <c:v>-5</c:v>
                </c:pt>
                <c:pt idx="25">
                  <c:v>-5</c:v>
                </c:pt>
                <c:pt idx="26">
                  <c:v>-15</c:v>
                </c:pt>
                <c:pt idx="27">
                  <c:v>0</c:v>
                </c:pt>
                <c:pt idx="28">
                  <c:v>0</c:v>
                </c:pt>
                <c:pt idx="29">
                  <c:v>-15</c:v>
                </c:pt>
                <c:pt idx="30">
                  <c:v>5</c:v>
                </c:pt>
                <c:pt idx="31">
                  <c:v>30</c:v>
                </c:pt>
                <c:pt idx="32">
                  <c:v>20</c:v>
                </c:pt>
                <c:pt idx="33">
                  <c:v>30</c:v>
                </c:pt>
                <c:pt idx="34">
                  <c:v>20</c:v>
                </c:pt>
                <c:pt idx="35">
                  <c:v>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7-48E5-80F6-9012549AA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;[Red]\-###0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Design Factor 1 </a:t>
            </a:r>
            <a:r>
              <a:rPr lang="en-US" sz="1200" i="1"/>
              <a:t>Enterprise Strategy</a:t>
            </a:r>
          </a:p>
          <a:p>
            <a:pPr>
              <a:defRPr sz="12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Importance of different strategies (Input)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843467585617644"/>
          <c:y val="0.16982765098736269"/>
          <c:w val="0.53952338507545439"/>
          <c:h val="0.77783065024880893"/>
        </c:manualLayout>
      </c:layout>
      <c:radarChart>
        <c:radarStyle val="marker"/>
        <c:varyColors val="1"/>
        <c:ser>
          <c:idx val="0"/>
          <c:order val="0"/>
          <c:marker>
            <c:symbol val="circle"/>
            <c:size val="4"/>
          </c:marker>
          <c:dPt>
            <c:idx val="0"/>
            <c:marker>
              <c:spPr>
                <a:gradFill rotWithShape="1">
                  <a:gsLst>
                    <a:gs pos="0">
                      <a:schemeClr val="accent1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1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1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1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158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23-4C4D-A47B-1C49E8FE152F}"/>
              </c:ext>
            </c:extLst>
          </c:dPt>
          <c:dPt>
            <c:idx val="1"/>
            <c:marker>
              <c:spPr>
                <a:gradFill rotWithShape="1">
                  <a:gsLst>
                    <a:gs pos="0">
                      <a:schemeClr val="accent2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2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2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2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158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23-4C4D-A47B-1C49E8FE152F}"/>
              </c:ext>
            </c:extLst>
          </c:dPt>
          <c:dPt>
            <c:idx val="2"/>
            <c:marker>
              <c:spPr>
                <a:gradFill rotWithShape="1">
                  <a:gsLst>
                    <a:gs pos="0">
                      <a:schemeClr val="accent3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3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3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3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158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23-4C4D-A47B-1C49E8FE152F}"/>
              </c:ext>
            </c:extLst>
          </c:dPt>
          <c:dPt>
            <c:idx val="3"/>
            <c:marker>
              <c:spPr>
                <a:gradFill rotWithShape="1">
                  <a:gsLst>
                    <a:gs pos="0">
                      <a:schemeClr val="accent4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4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4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4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158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723-4C4D-A47B-1C49E8FE152F}"/>
              </c:ext>
            </c:extLst>
          </c:dPt>
          <c:cat>
            <c:numRef>
              <c:f>'DF1'!$B$7:$B$10</c:f>
              <c:numCache>
                <c:formatCode>General</c:formatCode>
                <c:ptCount val="4"/>
              </c:numCache>
            </c:numRef>
          </c:cat>
          <c:val>
            <c:numRef>
              <c:f>'DF1'!$D$7:$D$10</c:f>
              <c:numCache>
                <c:formatCode>0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23-4C4D-A47B-1C49E8FE1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629848"/>
        <c:axId val="801625584"/>
      </c:radarChart>
      <c:catAx>
        <c:axId val="80162984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5584"/>
        <c:crosses val="autoZero"/>
        <c:auto val="1"/>
        <c:lblAlgn val="ctr"/>
        <c:lblOffset val="100"/>
        <c:noMultiLvlLbl val="0"/>
      </c:catAx>
      <c:valAx>
        <c:axId val="80162558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9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</a:rPr>
              <a:t>Design Factor 2 </a:t>
            </a:r>
            <a:r>
              <a:rPr lang="en-US" sz="1200" i="1">
                <a:solidFill>
                  <a:sysClr val="windowText" lastClr="000000"/>
                </a:solidFill>
              </a:rPr>
              <a:t>Enterprise Goals</a:t>
            </a:r>
            <a:r>
              <a:rPr lang="en-US" sz="1200">
                <a:solidFill>
                  <a:sysClr val="windowText" lastClr="000000"/>
                </a:solidFill>
              </a:rPr>
              <a:t> (Input)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DA5-4192-8D55-8D26B751E2A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1-9B96-4E14-9A43-B4E2D7AC7CF0}"/>
              </c:ext>
            </c:extLst>
          </c:dPt>
          <c:cat>
            <c:strRef>
              <c:f>'DF2'!$A$6:$A$18</c:f>
              <c:strCache>
                <c:ptCount val="13"/>
                <c:pt idx="0">
                  <c:v>EG01—Portfolio of competitive products and services</c:v>
                </c:pt>
                <c:pt idx="1">
                  <c:v>EG02—Managed business risk</c:v>
                </c:pt>
                <c:pt idx="2">
                  <c:v>EG03—Compliance with external laws and regulations</c:v>
                </c:pt>
                <c:pt idx="3">
                  <c:v>EG04—Quality of financial information</c:v>
                </c:pt>
                <c:pt idx="4">
                  <c:v>EG05—Customer-oriented service culture</c:v>
                </c:pt>
                <c:pt idx="5">
                  <c:v>EG06—Business-service continuity and availability</c:v>
                </c:pt>
                <c:pt idx="6">
                  <c:v>EG07—Quality of management information</c:v>
                </c:pt>
                <c:pt idx="7">
                  <c:v>EG08—Optimization of internal business process functionality</c:v>
                </c:pt>
                <c:pt idx="8">
                  <c:v>EG09—Optimization of business process costs</c:v>
                </c:pt>
                <c:pt idx="9">
                  <c:v>EG10—Staff skills, motivation and productivity</c:v>
                </c:pt>
                <c:pt idx="10">
                  <c:v>EG11—Compliance with internal policies</c:v>
                </c:pt>
                <c:pt idx="11">
                  <c:v>EG12—Managed digital transformation programs</c:v>
                </c:pt>
                <c:pt idx="12">
                  <c:v>EG13—Product and business innovation</c:v>
                </c:pt>
              </c:strCache>
            </c:strRef>
          </c:cat>
          <c:val>
            <c:numRef>
              <c:f>'DF2'!$E$6:$E$18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A5-4192-8D55-8D26B751E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629848"/>
        <c:axId val="801625584"/>
      </c:radarChart>
      <c:catAx>
        <c:axId val="80162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5584"/>
        <c:crosses val="autoZero"/>
        <c:auto val="1"/>
        <c:lblAlgn val="ctr"/>
        <c:lblOffset val="100"/>
        <c:noMultiLvlLbl val="0"/>
      </c:catAx>
      <c:valAx>
        <c:axId val="80162558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9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Design Factor 2 </a:t>
            </a:r>
            <a:r>
              <a:rPr lang="en-US" sz="1200" i="1"/>
              <a:t>Enterprise Goals</a:t>
            </a:r>
          </a:p>
          <a:p>
            <a:pPr>
              <a:defRPr sz="1200"/>
            </a:pPr>
            <a:r>
              <a:rPr lang="en-US" sz="1200"/>
              <a:t>Resulting Governance/ Management Objectives Importance</a:t>
            </a:r>
          </a:p>
        </c:rich>
      </c:tx>
      <c:layout>
        <c:manualLayout>
          <c:xMode val="edge"/>
          <c:yMode val="edge"/>
          <c:x val="0.12716595481748771"/>
          <c:y val="5.8289761566571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49965893317188E-2"/>
          <c:y val="0.21340248889122343"/>
          <c:w val="0.82081395508312283"/>
          <c:h val="0.7641066131468400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invertIfNegative val="0"/>
          <c:cat>
            <c:strRef>
              <c:f>'DF2'!$A$31:$A$70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'DF2'!$D$31:$D$70</c:f>
              <c:numCache>
                <c:formatCode>0_ ;[Red]\-0\ </c:formatCode>
                <c:ptCount val="40"/>
                <c:pt idx="0">
                  <c:v>-10</c:v>
                </c:pt>
                <c:pt idx="1">
                  <c:v>-25</c:v>
                </c:pt>
                <c:pt idx="2">
                  <c:v>20</c:v>
                </c:pt>
                <c:pt idx="3">
                  <c:v>-25</c:v>
                </c:pt>
                <c:pt idx="4">
                  <c:v>15</c:v>
                </c:pt>
                <c:pt idx="5">
                  <c:v>-5</c:v>
                </c:pt>
                <c:pt idx="6">
                  <c:v>-25</c:v>
                </c:pt>
                <c:pt idx="7">
                  <c:v>-20</c:v>
                </c:pt>
                <c:pt idx="8">
                  <c:v>-30</c:v>
                </c:pt>
                <c:pt idx="9">
                  <c:v>-25</c:v>
                </c:pt>
                <c:pt idx="10">
                  <c:v>-5</c:v>
                </c:pt>
                <c:pt idx="11">
                  <c:v>-20</c:v>
                </c:pt>
                <c:pt idx="12">
                  <c:v>-25</c:v>
                </c:pt>
                <c:pt idx="13">
                  <c:v>-20</c:v>
                </c:pt>
                <c:pt idx="14">
                  <c:v>-25</c:v>
                </c:pt>
                <c:pt idx="15">
                  <c:v>-10</c:v>
                </c:pt>
                <c:pt idx="16">
                  <c:v>20</c:v>
                </c:pt>
                <c:pt idx="17">
                  <c:v>20</c:v>
                </c:pt>
                <c:pt idx="18">
                  <c:v>15</c:v>
                </c:pt>
                <c:pt idx="19">
                  <c:v>-25</c:v>
                </c:pt>
                <c:pt idx="20">
                  <c:v>-25</c:v>
                </c:pt>
                <c:pt idx="21">
                  <c:v>-25</c:v>
                </c:pt>
                <c:pt idx="22">
                  <c:v>-15</c:v>
                </c:pt>
                <c:pt idx="23">
                  <c:v>-25</c:v>
                </c:pt>
                <c:pt idx="24">
                  <c:v>-25</c:v>
                </c:pt>
                <c:pt idx="25">
                  <c:v>-25</c:v>
                </c:pt>
                <c:pt idx="26">
                  <c:v>-25</c:v>
                </c:pt>
                <c:pt idx="27">
                  <c:v>15</c:v>
                </c:pt>
                <c:pt idx="28">
                  <c:v>-20</c:v>
                </c:pt>
                <c:pt idx="29">
                  <c:v>-25</c:v>
                </c:pt>
                <c:pt idx="30">
                  <c:v>-20</c:v>
                </c:pt>
                <c:pt idx="31">
                  <c:v>-5</c:v>
                </c:pt>
                <c:pt idx="32">
                  <c:v>-5</c:v>
                </c:pt>
                <c:pt idx="33">
                  <c:v>-5</c:v>
                </c:pt>
                <c:pt idx="34">
                  <c:v>10</c:v>
                </c:pt>
                <c:pt idx="35">
                  <c:v>-10</c:v>
                </c:pt>
                <c:pt idx="36">
                  <c:v>-5</c:v>
                </c:pt>
                <c:pt idx="37">
                  <c:v>5</c:v>
                </c:pt>
                <c:pt idx="38">
                  <c:v>20</c:v>
                </c:pt>
                <c:pt idx="3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5-4E61-82F5-2327770CF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2 </a:t>
            </a:r>
            <a:r>
              <a:rPr lang="en-US" sz="1200" b="0" i="1" u="none" strike="noStrike" baseline="0">
                <a:effectLst/>
              </a:rPr>
              <a:t>Enterprise Goals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9215714437804557"/>
          <c:y val="3.7727724951888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cat>
            <c:strRef>
              <c:f>'DF2'!$A$31:$A$70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'DF2'!$D$31:$D$70</c:f>
              <c:numCache>
                <c:formatCode>0_ ;[Red]\-0\ </c:formatCode>
                <c:ptCount val="40"/>
                <c:pt idx="0">
                  <c:v>-10</c:v>
                </c:pt>
                <c:pt idx="1">
                  <c:v>-25</c:v>
                </c:pt>
                <c:pt idx="2">
                  <c:v>20</c:v>
                </c:pt>
                <c:pt idx="3">
                  <c:v>-25</c:v>
                </c:pt>
                <c:pt idx="4">
                  <c:v>15</c:v>
                </c:pt>
                <c:pt idx="5">
                  <c:v>-5</c:v>
                </c:pt>
                <c:pt idx="6">
                  <c:v>-25</c:v>
                </c:pt>
                <c:pt idx="7">
                  <c:v>-20</c:v>
                </c:pt>
                <c:pt idx="8">
                  <c:v>-30</c:v>
                </c:pt>
                <c:pt idx="9">
                  <c:v>-25</c:v>
                </c:pt>
                <c:pt idx="10">
                  <c:v>-5</c:v>
                </c:pt>
                <c:pt idx="11">
                  <c:v>-20</c:v>
                </c:pt>
                <c:pt idx="12">
                  <c:v>-25</c:v>
                </c:pt>
                <c:pt idx="13">
                  <c:v>-20</c:v>
                </c:pt>
                <c:pt idx="14">
                  <c:v>-25</c:v>
                </c:pt>
                <c:pt idx="15">
                  <c:v>-10</c:v>
                </c:pt>
                <c:pt idx="16">
                  <c:v>20</c:v>
                </c:pt>
                <c:pt idx="17">
                  <c:v>20</c:v>
                </c:pt>
                <c:pt idx="18">
                  <c:v>15</c:v>
                </c:pt>
                <c:pt idx="19">
                  <c:v>-25</c:v>
                </c:pt>
                <c:pt idx="20">
                  <c:v>-25</c:v>
                </c:pt>
                <c:pt idx="21">
                  <c:v>-25</c:v>
                </c:pt>
                <c:pt idx="22">
                  <c:v>-15</c:v>
                </c:pt>
                <c:pt idx="23">
                  <c:v>-25</c:v>
                </c:pt>
                <c:pt idx="24">
                  <c:v>-25</c:v>
                </c:pt>
                <c:pt idx="25">
                  <c:v>-25</c:v>
                </c:pt>
                <c:pt idx="26">
                  <c:v>-25</c:v>
                </c:pt>
                <c:pt idx="27">
                  <c:v>15</c:v>
                </c:pt>
                <c:pt idx="28">
                  <c:v>-20</c:v>
                </c:pt>
                <c:pt idx="29">
                  <c:v>-25</c:v>
                </c:pt>
                <c:pt idx="30">
                  <c:v>-20</c:v>
                </c:pt>
                <c:pt idx="31">
                  <c:v>-5</c:v>
                </c:pt>
                <c:pt idx="32">
                  <c:v>-5</c:v>
                </c:pt>
                <c:pt idx="33">
                  <c:v>-5</c:v>
                </c:pt>
                <c:pt idx="34">
                  <c:v>10</c:v>
                </c:pt>
                <c:pt idx="35">
                  <c:v>-10</c:v>
                </c:pt>
                <c:pt idx="36">
                  <c:v>-5</c:v>
                </c:pt>
                <c:pt idx="37">
                  <c:v>5</c:v>
                </c:pt>
                <c:pt idx="38">
                  <c:v>20</c:v>
                </c:pt>
                <c:pt idx="3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2-4DC7-A55C-AA9CCF06E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baseline="0">
                <a:effectLst/>
              </a:rPr>
              <a:t>Design Factor 2 </a:t>
            </a:r>
            <a:r>
              <a:rPr lang="en-US" sz="1100" b="0" i="1" baseline="0">
                <a:effectLst/>
              </a:rPr>
              <a:t>Enterprise Goals</a:t>
            </a:r>
            <a:r>
              <a:rPr lang="en-US" sz="1100" b="0" i="0" baseline="0">
                <a:effectLst/>
              </a:rPr>
              <a:t> (Input) </a:t>
            </a:r>
            <a:r>
              <a:rPr lang="en-US" sz="11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B1-4851-8983-B3761B6F0583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B1-4851-8983-B3761B6F0583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B1-4851-8983-B3761B6F0583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B1-4851-8983-B3761B6F0583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DB1-4851-8983-B3761B6F0583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DB1-4851-8983-B3761B6F0583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DB1-4851-8983-B3761B6F0583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DB1-4851-8983-B3761B6F0583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DB1-4851-8983-B3761B6F0583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DB1-4851-8983-B3761B6F0583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DB1-4851-8983-B3761B6F0583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DB1-4851-8983-B3761B6F0583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1DB1-4851-8983-B3761B6F05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'DF2'!$A$6:$A$18</c:f>
              <c:strCache>
                <c:ptCount val="13"/>
                <c:pt idx="0">
                  <c:v>EG01—Portfolio of competitive products and services</c:v>
                </c:pt>
                <c:pt idx="1">
                  <c:v>EG02—Managed business risk</c:v>
                </c:pt>
                <c:pt idx="2">
                  <c:v>EG03—Compliance with external laws and regulations</c:v>
                </c:pt>
                <c:pt idx="3">
                  <c:v>EG04—Quality of financial information</c:v>
                </c:pt>
                <c:pt idx="4">
                  <c:v>EG05—Customer-oriented service culture</c:v>
                </c:pt>
                <c:pt idx="5">
                  <c:v>EG06—Business-service continuity and availability</c:v>
                </c:pt>
                <c:pt idx="6">
                  <c:v>EG07—Quality of management information</c:v>
                </c:pt>
                <c:pt idx="7">
                  <c:v>EG08—Optimization of internal business process functionality</c:v>
                </c:pt>
                <c:pt idx="8">
                  <c:v>EG09—Optimization of business process costs</c:v>
                </c:pt>
                <c:pt idx="9">
                  <c:v>EG10—Staff skills, motivation and productivity</c:v>
                </c:pt>
                <c:pt idx="10">
                  <c:v>EG11—Compliance with internal policies</c:v>
                </c:pt>
                <c:pt idx="11">
                  <c:v>EG12—Managed digital transformation programs</c:v>
                </c:pt>
                <c:pt idx="12">
                  <c:v>EG13—Product and business innovation</c:v>
                </c:pt>
              </c:strCache>
            </c:strRef>
          </c:cat>
          <c:val>
            <c:numRef>
              <c:f>'DF2'!$E$6:$E$18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B-4C3B-80A3-ECA2CA3931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801629848"/>
        <c:axId val="801625584"/>
      </c:barChart>
      <c:catAx>
        <c:axId val="801629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5584"/>
        <c:crosses val="autoZero"/>
        <c:auto val="1"/>
        <c:lblAlgn val="ctr"/>
        <c:lblOffset val="100"/>
        <c:noMultiLvlLbl val="0"/>
      </c:catAx>
      <c:valAx>
        <c:axId val="801625584"/>
        <c:scaling>
          <c:orientation val="minMax"/>
          <c:max val="5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1629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3 </a:t>
            </a:r>
            <a:r>
              <a:rPr lang="en-US" sz="1200" b="0" i="1" u="none" strike="noStrike" baseline="0">
                <a:effectLst/>
              </a:rPr>
              <a:t>IT Risk Profile</a:t>
            </a:r>
          </a:p>
          <a:p>
            <a:pPr>
              <a:defRPr sz="1200"/>
            </a:pPr>
            <a:r>
              <a:rPr lang="en-US" sz="1200"/>
              <a:t>Resulting Governance/Management</a:t>
            </a:r>
          </a:p>
          <a:p>
            <a:pPr>
              <a:defRPr sz="1200"/>
            </a:pPr>
            <a:r>
              <a:rPr lang="en-US" sz="1200"/>
              <a:t>Objectives Importance</a:t>
            </a:r>
          </a:p>
        </c:rich>
      </c:tx>
      <c:layout>
        <c:manualLayout>
          <c:xMode val="edge"/>
          <c:yMode val="edge"/>
          <c:x val="0.2155782982914401"/>
          <c:y val="1.1280391710016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invertIfNegative val="0"/>
          <c:cat>
            <c:strRef>
              <c:f>'DF3'!$A$35:$A$74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'DF3'!$D$35:$D$74</c:f>
              <c:numCache>
                <c:formatCode>0_ ;[Red]\-0\ </c:formatCode>
                <c:ptCount val="40"/>
                <c:pt idx="0">
                  <c:v>-15</c:v>
                </c:pt>
                <c:pt idx="1">
                  <c:v>5</c:v>
                </c:pt>
                <c:pt idx="2">
                  <c:v>5</c:v>
                </c:pt>
                <c:pt idx="3">
                  <c:v>-15</c:v>
                </c:pt>
                <c:pt idx="4">
                  <c:v>-20</c:v>
                </c:pt>
                <c:pt idx="5">
                  <c:v>10</c:v>
                </c:pt>
                <c:pt idx="6">
                  <c:v>-5</c:v>
                </c:pt>
                <c:pt idx="7">
                  <c:v>20</c:v>
                </c:pt>
                <c:pt idx="8">
                  <c:v>-20</c:v>
                </c:pt>
                <c:pt idx="9">
                  <c:v>-10</c:v>
                </c:pt>
                <c:pt idx="10">
                  <c:v>-40</c:v>
                </c:pt>
                <c:pt idx="11">
                  <c:v>0</c:v>
                </c:pt>
                <c:pt idx="12">
                  <c:v>15</c:v>
                </c:pt>
                <c:pt idx="13">
                  <c:v>0</c:v>
                </c:pt>
                <c:pt idx="14">
                  <c:v>-10</c:v>
                </c:pt>
                <c:pt idx="15">
                  <c:v>20</c:v>
                </c:pt>
                <c:pt idx="16">
                  <c:v>45</c:v>
                </c:pt>
                <c:pt idx="17">
                  <c:v>50</c:v>
                </c:pt>
                <c:pt idx="18">
                  <c:v>15</c:v>
                </c:pt>
                <c:pt idx="19">
                  <c:v>-5</c:v>
                </c:pt>
                <c:pt idx="20">
                  <c:v>20</c:v>
                </c:pt>
                <c:pt idx="21">
                  <c:v>30</c:v>
                </c:pt>
                <c:pt idx="22">
                  <c:v>-5</c:v>
                </c:pt>
                <c:pt idx="23">
                  <c:v>5</c:v>
                </c:pt>
                <c:pt idx="24">
                  <c:v>75</c:v>
                </c:pt>
                <c:pt idx="25">
                  <c:v>50</c:v>
                </c:pt>
                <c:pt idx="26">
                  <c:v>35</c:v>
                </c:pt>
                <c:pt idx="27">
                  <c:v>40</c:v>
                </c:pt>
                <c:pt idx="28">
                  <c:v>65</c:v>
                </c:pt>
                <c:pt idx="29">
                  <c:v>-5</c:v>
                </c:pt>
                <c:pt idx="30">
                  <c:v>50</c:v>
                </c:pt>
                <c:pt idx="31">
                  <c:v>65</c:v>
                </c:pt>
                <c:pt idx="32">
                  <c:v>50</c:v>
                </c:pt>
                <c:pt idx="33">
                  <c:v>35</c:v>
                </c:pt>
                <c:pt idx="34">
                  <c:v>40</c:v>
                </c:pt>
                <c:pt idx="35">
                  <c:v>60</c:v>
                </c:pt>
                <c:pt idx="36">
                  <c:v>15</c:v>
                </c:pt>
                <c:pt idx="37">
                  <c:v>15</c:v>
                </c:pt>
                <c:pt idx="38">
                  <c:v>20</c:v>
                </c:pt>
                <c:pt idx="3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D-43CF-A5C1-FA80E8B87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3 </a:t>
            </a:r>
            <a:r>
              <a:rPr lang="en-US" sz="1200" b="0" i="1" u="none" strike="noStrike" baseline="0">
                <a:effectLst/>
              </a:rPr>
              <a:t>IT Risk Profile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  <a:endParaRPr lang="en-US" sz="1200" i="1"/>
          </a:p>
        </c:rich>
      </c:tx>
      <c:layout>
        <c:manualLayout>
          <c:xMode val="edge"/>
          <c:yMode val="edge"/>
          <c:x val="0.19318806473270483"/>
          <c:y val="1.1019129703144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cat>
            <c:strRef>
              <c:f>'DF3'!$A$35:$A$74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'DF3'!$D$35:$D$74</c:f>
              <c:numCache>
                <c:formatCode>0_ ;[Red]\-0\ </c:formatCode>
                <c:ptCount val="40"/>
                <c:pt idx="0">
                  <c:v>-15</c:v>
                </c:pt>
                <c:pt idx="1">
                  <c:v>5</c:v>
                </c:pt>
                <c:pt idx="2">
                  <c:v>5</c:v>
                </c:pt>
                <c:pt idx="3">
                  <c:v>-15</c:v>
                </c:pt>
                <c:pt idx="4">
                  <c:v>-20</c:v>
                </c:pt>
                <c:pt idx="5">
                  <c:v>10</c:v>
                </c:pt>
                <c:pt idx="6">
                  <c:v>-5</c:v>
                </c:pt>
                <c:pt idx="7">
                  <c:v>20</c:v>
                </c:pt>
                <c:pt idx="8">
                  <c:v>-20</c:v>
                </c:pt>
                <c:pt idx="9">
                  <c:v>-10</c:v>
                </c:pt>
                <c:pt idx="10">
                  <c:v>-40</c:v>
                </c:pt>
                <c:pt idx="11">
                  <c:v>0</c:v>
                </c:pt>
                <c:pt idx="12">
                  <c:v>15</c:v>
                </c:pt>
                <c:pt idx="13">
                  <c:v>0</c:v>
                </c:pt>
                <c:pt idx="14">
                  <c:v>-10</c:v>
                </c:pt>
                <c:pt idx="15">
                  <c:v>20</c:v>
                </c:pt>
                <c:pt idx="16">
                  <c:v>45</c:v>
                </c:pt>
                <c:pt idx="17">
                  <c:v>50</c:v>
                </c:pt>
                <c:pt idx="18">
                  <c:v>15</c:v>
                </c:pt>
                <c:pt idx="19">
                  <c:v>-5</c:v>
                </c:pt>
                <c:pt idx="20">
                  <c:v>20</c:v>
                </c:pt>
                <c:pt idx="21">
                  <c:v>30</c:v>
                </c:pt>
                <c:pt idx="22">
                  <c:v>-5</c:v>
                </c:pt>
                <c:pt idx="23">
                  <c:v>5</c:v>
                </c:pt>
                <c:pt idx="24">
                  <c:v>75</c:v>
                </c:pt>
                <c:pt idx="25">
                  <c:v>50</c:v>
                </c:pt>
                <c:pt idx="26">
                  <c:v>35</c:v>
                </c:pt>
                <c:pt idx="27">
                  <c:v>40</c:v>
                </c:pt>
                <c:pt idx="28">
                  <c:v>65</c:v>
                </c:pt>
                <c:pt idx="29">
                  <c:v>-5</c:v>
                </c:pt>
                <c:pt idx="30">
                  <c:v>50</c:v>
                </c:pt>
                <c:pt idx="31">
                  <c:v>65</c:v>
                </c:pt>
                <c:pt idx="32">
                  <c:v>50</c:v>
                </c:pt>
                <c:pt idx="33">
                  <c:v>35</c:v>
                </c:pt>
                <c:pt idx="34">
                  <c:v>40</c:v>
                </c:pt>
                <c:pt idx="35">
                  <c:v>60</c:v>
                </c:pt>
                <c:pt idx="36">
                  <c:v>15</c:v>
                </c:pt>
                <c:pt idx="37">
                  <c:v>15</c:v>
                </c:pt>
                <c:pt idx="38">
                  <c:v>20</c:v>
                </c:pt>
                <c:pt idx="3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4-47A7-9740-414217323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Design Factor 3 </a:t>
            </a:r>
            <a:r>
              <a:rPr lang="en-US" sz="1100" b="1" i="1"/>
              <a:t>IT Risk Profile</a:t>
            </a:r>
          </a:p>
          <a:p>
            <a:pPr>
              <a:defRPr sz="1100" b="1"/>
            </a:pPr>
            <a:r>
              <a:rPr lang="en-US" sz="1100" b="1"/>
              <a:t>Risk Rating of IT Risk Scenario Categories (Input)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3"/>
          <c:spPr>
            <a:solidFill>
              <a:schemeClr val="tx2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cat>
            <c:strRef>
              <c:f>'DF3'!$A$6:$A$24</c:f>
              <c:strCache>
                <c:ptCount val="19"/>
                <c:pt idx="0">
                  <c:v>IT investment decision making, portfolio definition &amp; maintenance</c:v>
                </c:pt>
                <c:pt idx="1">
                  <c:v>Program &amp; projects life cycle management</c:v>
                </c:pt>
                <c:pt idx="2">
                  <c:v>IT cost &amp; oversight</c:v>
                </c:pt>
                <c:pt idx="3">
                  <c:v>IT expertise, skills &amp; behavior</c:v>
                </c:pt>
                <c:pt idx="4">
                  <c:v>Enterprise/IT architecture </c:v>
                </c:pt>
                <c:pt idx="5">
                  <c:v>IT operational infrastructure incidents</c:v>
                </c:pt>
                <c:pt idx="6">
                  <c:v>Unauthorized actions</c:v>
                </c:pt>
                <c:pt idx="7">
                  <c:v>Software adoption/usage problems</c:v>
                </c:pt>
                <c:pt idx="8">
                  <c:v>Hardware incidents</c:v>
                </c:pt>
                <c:pt idx="9">
                  <c:v>Software failures</c:v>
                </c:pt>
                <c:pt idx="10">
                  <c:v>Logical attacks (hacking, malware, etc.)</c:v>
                </c:pt>
                <c:pt idx="11">
                  <c:v>Third-party/supplier incidents</c:v>
                </c:pt>
                <c:pt idx="12">
                  <c:v>Noncompliance</c:v>
                </c:pt>
                <c:pt idx="13">
                  <c:v>Geopolitical Issues</c:v>
                </c:pt>
                <c:pt idx="14">
                  <c:v>Industrial action</c:v>
                </c:pt>
                <c:pt idx="15">
                  <c:v>Acts of nature</c:v>
                </c:pt>
                <c:pt idx="16">
                  <c:v>Technology-based innovation </c:v>
                </c:pt>
                <c:pt idx="17">
                  <c:v>Environmental</c:v>
                </c:pt>
                <c:pt idx="18">
                  <c:v>Data &amp; information management</c:v>
                </c:pt>
              </c:strCache>
            </c:strRef>
          </c:cat>
          <c:val>
            <c:numRef>
              <c:f>'DF3'!$G$6:$G$24</c:f>
              <c:numCache>
                <c:formatCode>General</c:formatCode>
                <c:ptCount val="19"/>
                <c:pt idx="0">
                  <c:v>12</c:v>
                </c:pt>
                <c:pt idx="1">
                  <c:v>10</c:v>
                </c:pt>
                <c:pt idx="2">
                  <c:v>4</c:v>
                </c:pt>
                <c:pt idx="3">
                  <c:v>12</c:v>
                </c:pt>
                <c:pt idx="4">
                  <c:v>8</c:v>
                </c:pt>
                <c:pt idx="5">
                  <c:v>25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25</c:v>
                </c:pt>
                <c:pt idx="11">
                  <c:v>4</c:v>
                </c:pt>
                <c:pt idx="12">
                  <c:v>9</c:v>
                </c:pt>
                <c:pt idx="13">
                  <c:v>2</c:v>
                </c:pt>
                <c:pt idx="14">
                  <c:v>3</c:v>
                </c:pt>
                <c:pt idx="15">
                  <c:v>9</c:v>
                </c:pt>
                <c:pt idx="16">
                  <c:v>9</c:v>
                </c:pt>
                <c:pt idx="17">
                  <c:v>4</c:v>
                </c:pt>
                <c:pt idx="1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8-49AF-AF8A-535F08321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623845960"/>
        <c:axId val="6238476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'DF3'!$A$6:$A$24</c15:sqref>
                        </c15:formulaRef>
                      </c:ext>
                    </c:extLst>
                    <c:strCache>
                      <c:ptCount val="19"/>
                      <c:pt idx="0">
                        <c:v>IT investment decision making, portfolio definition &amp; maintenance</c:v>
                      </c:pt>
                      <c:pt idx="1">
                        <c:v>Program &amp; projects life cycle management</c:v>
                      </c:pt>
                      <c:pt idx="2">
                        <c:v>IT cost &amp; oversight</c:v>
                      </c:pt>
                      <c:pt idx="3">
                        <c:v>IT expertise, skills &amp; behavior</c:v>
                      </c:pt>
                      <c:pt idx="4">
                        <c:v>Enterprise/IT architecture </c:v>
                      </c:pt>
                      <c:pt idx="5">
                        <c:v>IT operational infrastructure incidents</c:v>
                      </c:pt>
                      <c:pt idx="6">
                        <c:v>Unauthorized actions</c:v>
                      </c:pt>
                      <c:pt idx="7">
                        <c:v>Software adoption/usage problems</c:v>
                      </c:pt>
                      <c:pt idx="8">
                        <c:v>Hardware incidents</c:v>
                      </c:pt>
                      <c:pt idx="9">
                        <c:v>Software failures</c:v>
                      </c:pt>
                      <c:pt idx="10">
                        <c:v>Logical attacks (hacking, malware, etc.)</c:v>
                      </c:pt>
                      <c:pt idx="11">
                        <c:v>Third-party/supplier incidents</c:v>
                      </c:pt>
                      <c:pt idx="12">
                        <c:v>Noncompliance</c:v>
                      </c:pt>
                      <c:pt idx="13">
                        <c:v>Geopolitical Issues</c:v>
                      </c:pt>
                      <c:pt idx="14">
                        <c:v>Industrial action</c:v>
                      </c:pt>
                      <c:pt idx="15">
                        <c:v>Acts of nature</c:v>
                      </c:pt>
                      <c:pt idx="16">
                        <c:v>Technology-based innovation </c:v>
                      </c:pt>
                      <c:pt idx="17">
                        <c:v>Environmental</c:v>
                      </c:pt>
                      <c:pt idx="18">
                        <c:v>Data &amp; information management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'DF3'!$B$6:$B$24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3C8-49AF-AF8A-535F083218D8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'DF3'!$A$6:$A$24</c15:sqref>
                        </c15:formulaRef>
                      </c:ext>
                    </c:extLst>
                    <c:strCache>
                      <c:ptCount val="19"/>
                      <c:pt idx="0">
                        <c:v>IT investment decision making, portfolio definition &amp; maintenance</c:v>
                      </c:pt>
                      <c:pt idx="1">
                        <c:v>Program &amp; projects life cycle management</c:v>
                      </c:pt>
                      <c:pt idx="2">
                        <c:v>IT cost &amp; oversight</c:v>
                      </c:pt>
                      <c:pt idx="3">
                        <c:v>IT expertise, skills &amp; behavior</c:v>
                      </c:pt>
                      <c:pt idx="4">
                        <c:v>Enterprise/IT architecture </c:v>
                      </c:pt>
                      <c:pt idx="5">
                        <c:v>IT operational infrastructure incidents</c:v>
                      </c:pt>
                      <c:pt idx="6">
                        <c:v>Unauthorized actions</c:v>
                      </c:pt>
                      <c:pt idx="7">
                        <c:v>Software adoption/usage problems</c:v>
                      </c:pt>
                      <c:pt idx="8">
                        <c:v>Hardware incidents</c:v>
                      </c:pt>
                      <c:pt idx="9">
                        <c:v>Software failures</c:v>
                      </c:pt>
                      <c:pt idx="10">
                        <c:v>Logical attacks (hacking, malware, etc.)</c:v>
                      </c:pt>
                      <c:pt idx="11">
                        <c:v>Third-party/supplier incidents</c:v>
                      </c:pt>
                      <c:pt idx="12">
                        <c:v>Noncompliance</c:v>
                      </c:pt>
                      <c:pt idx="13">
                        <c:v>Geopolitical Issues</c:v>
                      </c:pt>
                      <c:pt idx="14">
                        <c:v>Industrial action</c:v>
                      </c:pt>
                      <c:pt idx="15">
                        <c:v>Acts of nature</c:v>
                      </c:pt>
                      <c:pt idx="16">
                        <c:v>Technology-based innovation </c:v>
                      </c:pt>
                      <c:pt idx="17">
                        <c:v>Environmental</c:v>
                      </c:pt>
                      <c:pt idx="18">
                        <c:v>Data &amp; information management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'DF3'!$C$6:$C$24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3C8-49AF-AF8A-535F083218D8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rotWithShape="1">
                    <a:gsLst>
                      <a:gs pos="0">
                        <a:schemeClr val="accent3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'DF3'!$A$6:$A$24</c15:sqref>
                        </c15:formulaRef>
                      </c:ext>
                    </c:extLst>
                    <c:strCache>
                      <c:ptCount val="19"/>
                      <c:pt idx="0">
                        <c:v>IT investment decision making, portfolio definition &amp; maintenance</c:v>
                      </c:pt>
                      <c:pt idx="1">
                        <c:v>Program &amp; projects life cycle management</c:v>
                      </c:pt>
                      <c:pt idx="2">
                        <c:v>IT cost &amp; oversight</c:v>
                      </c:pt>
                      <c:pt idx="3">
                        <c:v>IT expertise, skills &amp; behavior</c:v>
                      </c:pt>
                      <c:pt idx="4">
                        <c:v>Enterprise/IT architecture </c:v>
                      </c:pt>
                      <c:pt idx="5">
                        <c:v>IT operational infrastructure incidents</c:v>
                      </c:pt>
                      <c:pt idx="6">
                        <c:v>Unauthorized actions</c:v>
                      </c:pt>
                      <c:pt idx="7">
                        <c:v>Software adoption/usage problems</c:v>
                      </c:pt>
                      <c:pt idx="8">
                        <c:v>Hardware incidents</c:v>
                      </c:pt>
                      <c:pt idx="9">
                        <c:v>Software failures</c:v>
                      </c:pt>
                      <c:pt idx="10">
                        <c:v>Logical attacks (hacking, malware, etc.)</c:v>
                      </c:pt>
                      <c:pt idx="11">
                        <c:v>Third-party/supplier incidents</c:v>
                      </c:pt>
                      <c:pt idx="12">
                        <c:v>Noncompliance</c:v>
                      </c:pt>
                      <c:pt idx="13">
                        <c:v>Geopolitical Issues</c:v>
                      </c:pt>
                      <c:pt idx="14">
                        <c:v>Industrial action</c:v>
                      </c:pt>
                      <c:pt idx="15">
                        <c:v>Acts of nature</c:v>
                      </c:pt>
                      <c:pt idx="16">
                        <c:v>Technology-based innovation </c:v>
                      </c:pt>
                      <c:pt idx="17">
                        <c:v>Environmental</c:v>
                      </c:pt>
                      <c:pt idx="18">
                        <c:v>Data &amp; information management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'DF3'!$D$6:$D$24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3C8-49AF-AF8A-535F083218D8}"/>
                  </c:ext>
                </c:extLst>
              </c15:ser>
            </c15:filteredBarSeries>
          </c:ext>
        </c:extLst>
      </c:barChart>
      <c:catAx>
        <c:axId val="623845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847600"/>
        <c:crosses val="autoZero"/>
        <c:auto val="1"/>
        <c:lblAlgn val="ctr"/>
        <c:lblOffset val="100"/>
        <c:noMultiLvlLbl val="0"/>
      </c:catAx>
      <c:valAx>
        <c:axId val="6238476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845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Design Factor 4 </a:t>
            </a:r>
            <a:r>
              <a:rPr lang="en-US" sz="1200" b="0" i="1" baseline="0">
                <a:effectLst/>
              </a:rPr>
              <a:t>I&amp;T-Related Issues</a:t>
            </a:r>
            <a:endParaRPr lang="en-GB" sz="1200" i="1">
              <a:effectLst/>
            </a:endParaRPr>
          </a:p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 sz="1200" b="0" i="0" baseline="0">
                <a:effectLst/>
              </a:rPr>
              <a:t>Importance of I&amp;T-Related Issues (Input)</a:t>
            </a:r>
            <a:r>
              <a:rPr lang="en-US" sz="1200">
                <a:solidFill>
                  <a:sysClr val="windowText" lastClr="00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'DF4'!$A$6:$E$25</c:f>
              <c:multiLvlStrCache>
                <c:ptCount val="20"/>
                <c:lvl/>
                <c:lvl/>
                <c:lvl/>
                <c:lvl/>
                <c:lvl>
                  <c:pt idx="0">
                    <c:v>Frustration between different IT entities across the organization because of a perception of low contribution to business value</c:v>
                  </c:pt>
                  <c:pt idx="1">
                    <c:v>Frustration between business departments (i.e., the IT customer) and the IT department because of failed initiatives or a perception of low contribution to business value</c:v>
                  </c:pt>
                  <c:pt idx="2">
                    <c:v>Significant I&amp;T-related incidents, such as data loss, security breaches, project failure and application errors, linked to IT</c:v>
                  </c:pt>
                  <c:pt idx="3">
                    <c:v>Service delivery problems by the IT outsourcer(s) </c:v>
                  </c:pt>
                  <c:pt idx="4">
                    <c:v>Failures to meet IT-related regulatory or contractual requirements </c:v>
                  </c:pt>
                  <c:pt idx="5">
                    <c:v>Regular audit findings or other assessment reports about poor IT performance or reported IT quality or service problems</c:v>
                  </c:pt>
                  <c:pt idx="6">
                    <c:v>Substantial hidden and rogue IT spending, that is, I&amp;T spending by user departments outside the control of the normal I&amp;T investment decision mechanisms and approved budgets</c:v>
                  </c:pt>
                  <c:pt idx="7">
                    <c:v>Duplications or overlaps between various initiatives, or other forms of wasted resources</c:v>
                  </c:pt>
                  <c:pt idx="8">
                    <c:v>Insufficient IT resources, staff with inadequate skills or staff burnout/dissatisfaction</c:v>
                  </c:pt>
                  <c:pt idx="9">
                    <c:v>IT-enabled changes or projects frequently failing to meet business needs and delivered late or over budget</c:v>
                  </c:pt>
                  <c:pt idx="10">
                    <c:v>Reluctance by board members, executives or senior management to engage with IT, or a lack of committed business sponsorship for IT</c:v>
                  </c:pt>
                  <c:pt idx="11">
                    <c:v>Complex IT operating model and/or unclear decision mechanisms for IT-related decisions</c:v>
                  </c:pt>
                  <c:pt idx="12">
                    <c:v>Excessively high cost of IT</c:v>
                  </c:pt>
                  <c:pt idx="13">
                    <c:v>Obstructed or failed implementation of new initiatives or innovations caused by the current IT architecture and systems</c:v>
                  </c:pt>
                  <c:pt idx="14">
                    <c:v>Gap between business and technical knowledge, which leads to business users and information and/or technology specialists speaking different languages</c:v>
                  </c:pt>
                  <c:pt idx="15">
                    <c:v>Regular issues with data quality and integration of data across various sources</c:v>
                  </c:pt>
                  <c:pt idx="16">
                    <c:v>High level of end-user computing, creating (among other problems) a lack of oversight and quality control over the applications that are being developed and put in operation</c:v>
                  </c:pt>
                  <c:pt idx="17">
                    <c:v>Business departments implementing their own information solutions with little or no involvement of the enterprise IT department (related to end-user computing, which often stems from dissatisfaction with IT solutions and services)</c:v>
                  </c:pt>
                  <c:pt idx="18">
                    <c:v>Ignorance of and/or noncompliance with privacy regulations</c:v>
                  </c:pt>
                  <c:pt idx="19">
                    <c:v>Inability to exploit new technologies or innovate using I&amp;T</c:v>
                  </c:pt>
                </c:lvl>
              </c:multiLvlStrCache>
            </c:multiLvlStrRef>
          </c:cat>
          <c:val>
            <c:numRef>
              <c:f>'DF4'!$F$6:$F$25</c:f>
              <c:numCache>
                <c:formatCode>General</c:formatCode>
                <c:ptCount val="20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CD-4129-A55E-6BD1E6E63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801629848"/>
        <c:axId val="801625584"/>
      </c:barChart>
      <c:catAx>
        <c:axId val="801629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5584"/>
        <c:crosses val="autoZero"/>
        <c:auto val="1"/>
        <c:lblAlgn val="ctr"/>
        <c:lblOffset val="100"/>
        <c:noMultiLvlLbl val="0"/>
      </c:catAx>
      <c:valAx>
        <c:axId val="801625584"/>
        <c:scaling>
          <c:orientation val="minMax"/>
          <c:max val="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9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4 </a:t>
            </a:r>
            <a:r>
              <a:rPr lang="en-US" sz="1200" b="0" i="1" u="none" strike="noStrike" baseline="0">
                <a:effectLst/>
              </a:rPr>
              <a:t>I&amp;T-Related Issues</a:t>
            </a:r>
          </a:p>
          <a:p>
            <a:pPr>
              <a:defRPr sz="1200"/>
            </a:pPr>
            <a:r>
              <a:rPr lang="en-US" sz="1200"/>
              <a:t>Resulting Governance/ Management Objectives</a:t>
            </a:r>
            <a:r>
              <a:rPr lang="en-US" sz="1200" baseline="0"/>
              <a:t> </a:t>
            </a:r>
            <a:r>
              <a:rPr lang="en-US" sz="1200"/>
              <a:t>Importance</a:t>
            </a:r>
          </a:p>
        </c:rich>
      </c:tx>
      <c:layout>
        <c:manualLayout>
          <c:xMode val="edge"/>
          <c:yMode val="edge"/>
          <c:x val="0.18902630225143777"/>
          <c:y val="6.371681238333740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invertIfNegative val="0"/>
          <c:cat>
            <c:strRef>
              <c:f>'DF4'!$A$31:$A$70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'DF4'!$D$31:$D$70</c:f>
              <c:numCache>
                <c:formatCode>0_ ;[Red]\-0\ </c:formatCode>
                <c:ptCount val="40"/>
                <c:pt idx="0">
                  <c:v>0</c:v>
                </c:pt>
                <c:pt idx="1">
                  <c:v>-5</c:v>
                </c:pt>
                <c:pt idx="2">
                  <c:v>5</c:v>
                </c:pt>
                <c:pt idx="3">
                  <c:v>-5</c:v>
                </c:pt>
                <c:pt idx="4">
                  <c:v>-5</c:v>
                </c:pt>
                <c:pt idx="5">
                  <c:v>0</c:v>
                </c:pt>
                <c:pt idx="6">
                  <c:v>-5</c:v>
                </c:pt>
                <c:pt idx="7">
                  <c:v>5</c:v>
                </c:pt>
                <c:pt idx="8">
                  <c:v>-10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10</c:v>
                </c:pt>
                <c:pt idx="18">
                  <c:v>10</c:v>
                </c:pt>
                <c:pt idx="19">
                  <c:v>5</c:v>
                </c:pt>
                <c:pt idx="20">
                  <c:v>-5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15</c:v>
                </c:pt>
                <c:pt idx="29">
                  <c:v>10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20</c:v>
                </c:pt>
                <c:pt idx="34">
                  <c:v>20</c:v>
                </c:pt>
                <c:pt idx="35">
                  <c:v>5</c:v>
                </c:pt>
                <c:pt idx="36">
                  <c:v>0</c:v>
                </c:pt>
                <c:pt idx="37">
                  <c:v>0</c:v>
                </c:pt>
                <c:pt idx="38">
                  <c:v>15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6-4294-871F-B0126C905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4 </a:t>
            </a:r>
            <a:r>
              <a:rPr lang="en-US" sz="1200" b="0" i="1" u="none" strike="noStrike" baseline="0">
                <a:effectLst/>
              </a:rPr>
              <a:t>I&amp;T-Related Issues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8784365809695475"/>
          <c:y val="1.7969087894950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cat>
            <c:strRef>
              <c:f>'DF4'!$A$31:$A$70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'DF4'!$D$31:$D$70</c:f>
              <c:numCache>
                <c:formatCode>0_ ;[Red]\-0\ </c:formatCode>
                <c:ptCount val="40"/>
                <c:pt idx="0">
                  <c:v>0</c:v>
                </c:pt>
                <c:pt idx="1">
                  <c:v>-5</c:v>
                </c:pt>
                <c:pt idx="2">
                  <c:v>5</c:v>
                </c:pt>
                <c:pt idx="3">
                  <c:v>-5</c:v>
                </c:pt>
                <c:pt idx="4">
                  <c:v>-5</c:v>
                </c:pt>
                <c:pt idx="5">
                  <c:v>0</c:v>
                </c:pt>
                <c:pt idx="6">
                  <c:v>-5</c:v>
                </c:pt>
                <c:pt idx="7">
                  <c:v>5</c:v>
                </c:pt>
                <c:pt idx="8">
                  <c:v>-10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10</c:v>
                </c:pt>
                <c:pt idx="18">
                  <c:v>10</c:v>
                </c:pt>
                <c:pt idx="19">
                  <c:v>5</c:v>
                </c:pt>
                <c:pt idx="20">
                  <c:v>-5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15</c:v>
                </c:pt>
                <c:pt idx="29">
                  <c:v>10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20</c:v>
                </c:pt>
                <c:pt idx="34">
                  <c:v>20</c:v>
                </c:pt>
                <c:pt idx="35">
                  <c:v>5</c:v>
                </c:pt>
                <c:pt idx="36">
                  <c:v>0</c:v>
                </c:pt>
                <c:pt idx="37">
                  <c:v>0</c:v>
                </c:pt>
                <c:pt idx="38">
                  <c:v>15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1-4D5D-BFC8-01E17763D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&amp;L&amp;D&amp;C&amp;F&amp;RDF4-&amp;P</c:oddFooter>
    </c:headerFooter>
    <c:pageMargins b="0.74803149606299213" l="0.70866141732283472" r="0.70866141732283472" t="0.74803149606299213" header="0.31496062992125984" footer="0.31496062992125984"/>
    <c:pageSetup paperSize="9" orientation="landscape" horizontalDpi="-1" verticalDpi="-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Step 2 </a:t>
            </a:r>
            <a:r>
              <a:rPr lang="en-US" sz="1200" b="0" i="1" u="none" strike="noStrike" baseline="0">
                <a:effectLst/>
              </a:rPr>
              <a:t>Initial Design</a:t>
            </a:r>
            <a:endParaRPr lang="en-US" sz="1200"/>
          </a:p>
          <a:p>
            <a:pPr>
              <a:defRPr sz="1200"/>
            </a:pPr>
            <a:r>
              <a:rPr lang="en-US" sz="1200"/>
              <a:t>Governance and Management Objectives Importance</a:t>
            </a:r>
            <a:endParaRPr lang="en-US" sz="12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_ ;[Red]\-#,##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'DF1'!$A$22:$A$61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Canvas!$G$6:$G$45</c:f>
              <c:numCache>
                <c:formatCode>0</c:formatCode>
                <c:ptCount val="40"/>
                <c:pt idx="0">
                  <c:v>-20</c:v>
                </c:pt>
                <c:pt idx="1">
                  <c:v>-5</c:v>
                </c:pt>
                <c:pt idx="2">
                  <c:v>45</c:v>
                </c:pt>
                <c:pt idx="3">
                  <c:v>-45</c:v>
                </c:pt>
                <c:pt idx="4">
                  <c:v>-5</c:v>
                </c:pt>
                <c:pt idx="5">
                  <c:v>5</c:v>
                </c:pt>
                <c:pt idx="6">
                  <c:v>-55</c:v>
                </c:pt>
                <c:pt idx="7">
                  <c:v>-10</c:v>
                </c:pt>
                <c:pt idx="8">
                  <c:v>-75</c:v>
                </c:pt>
                <c:pt idx="9">
                  <c:v>-50</c:v>
                </c:pt>
                <c:pt idx="10">
                  <c:v>-45</c:v>
                </c:pt>
                <c:pt idx="11">
                  <c:v>-20</c:v>
                </c:pt>
                <c:pt idx="12">
                  <c:v>10</c:v>
                </c:pt>
                <c:pt idx="13">
                  <c:v>10</c:v>
                </c:pt>
                <c:pt idx="14">
                  <c:v>-25</c:v>
                </c:pt>
                <c:pt idx="15">
                  <c:v>45</c:v>
                </c:pt>
                <c:pt idx="16">
                  <c:v>85</c:v>
                </c:pt>
                <c:pt idx="17">
                  <c:v>100</c:v>
                </c:pt>
                <c:pt idx="18">
                  <c:v>40</c:v>
                </c:pt>
                <c:pt idx="19">
                  <c:v>-35</c:v>
                </c:pt>
                <c:pt idx="20">
                  <c:v>-10</c:v>
                </c:pt>
                <c:pt idx="21">
                  <c:v>5</c:v>
                </c:pt>
                <c:pt idx="22">
                  <c:v>0</c:v>
                </c:pt>
                <c:pt idx="23">
                  <c:v>-30</c:v>
                </c:pt>
                <c:pt idx="24">
                  <c:v>50</c:v>
                </c:pt>
                <c:pt idx="25">
                  <c:v>25</c:v>
                </c:pt>
                <c:pt idx="26">
                  <c:v>0</c:v>
                </c:pt>
                <c:pt idx="27">
                  <c:v>60</c:v>
                </c:pt>
                <c:pt idx="28">
                  <c:v>60</c:v>
                </c:pt>
                <c:pt idx="29">
                  <c:v>-35</c:v>
                </c:pt>
                <c:pt idx="30">
                  <c:v>40</c:v>
                </c:pt>
                <c:pt idx="31">
                  <c:v>95</c:v>
                </c:pt>
                <c:pt idx="32">
                  <c:v>70</c:v>
                </c:pt>
                <c:pt idx="33">
                  <c:v>80</c:v>
                </c:pt>
                <c:pt idx="34">
                  <c:v>90</c:v>
                </c:pt>
                <c:pt idx="35">
                  <c:v>60</c:v>
                </c:pt>
                <c:pt idx="36">
                  <c:v>10</c:v>
                </c:pt>
                <c:pt idx="37">
                  <c:v>20</c:v>
                </c:pt>
                <c:pt idx="38">
                  <c:v>55</c:v>
                </c:pt>
                <c:pt idx="3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C-406E-B3AD-1F546F8D4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662730312"/>
        <c:axId val="662725064"/>
      </c:barChart>
      <c:catAx>
        <c:axId val="6627303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25064"/>
        <c:crosses val="autoZero"/>
        <c:auto val="1"/>
        <c:lblAlgn val="ctr"/>
        <c:lblOffset val="100"/>
        <c:noMultiLvlLbl val="0"/>
      </c:catAx>
      <c:valAx>
        <c:axId val="662725064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30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cap="none" baseline="0"/>
              <a:t>Design Factor 5 </a:t>
            </a:r>
            <a:r>
              <a:rPr lang="en-US" sz="1200" b="0" i="1" cap="none" baseline="0"/>
              <a:t>IT Threat Landscape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14-4044-B7E4-F42C3BDB37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14-4044-B7E4-F42C3BDB37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'DF5'!$A$7:$A$8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'DF5'!$B$7:$B$8</c:f>
              <c:numCache>
                <c:formatCode>0%</c:formatCode>
                <c:ptCount val="2"/>
                <c:pt idx="0">
                  <c:v>0.1</c:v>
                </c:pt>
                <c:pt idx="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14-4044-B7E4-F42C3BDB374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5 </a:t>
            </a:r>
            <a:r>
              <a:rPr lang="en-US" sz="1200" b="0" i="1" u="none" strike="noStrike" baseline="0">
                <a:effectLst/>
              </a:rPr>
              <a:t>Threat Landscape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9.6946325498226515E-2"/>
          <c:y val="5.4001399320440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564002646985173E-2"/>
          <c:y val="0.18188369662835929"/>
          <c:w val="0.83662862804626237"/>
          <c:h val="0.795817887335376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D2EE">
                <a:alpha val="48000"/>
              </a:srgbClr>
            </a:solidFill>
            <a:ln>
              <a:noFill/>
            </a:ln>
            <a:effectLst/>
          </c:spPr>
          <c:invertIfNegative val="0"/>
          <c:cat>
            <c:strRef>
              <c:f>'DF5'!$A$30:$A$69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'DF5'!$D$30:$D$69</c:f>
              <c:numCache>
                <c:formatCode>0_ ;[Red]\-0\ </c:formatCode>
                <c:ptCount val="40"/>
                <c:pt idx="0">
                  <c:v>-30</c:v>
                </c:pt>
                <c:pt idx="1">
                  <c:v>0</c:v>
                </c:pt>
                <c:pt idx="2">
                  <c:v>-35</c:v>
                </c:pt>
                <c:pt idx="3">
                  <c:v>0</c:v>
                </c:pt>
                <c:pt idx="4">
                  <c:v>-15</c:v>
                </c:pt>
                <c:pt idx="5">
                  <c:v>-30</c:v>
                </c:pt>
                <c:pt idx="6">
                  <c:v>0</c:v>
                </c:pt>
                <c:pt idx="7">
                  <c:v>-30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-15</c:v>
                </c:pt>
                <c:pt idx="12">
                  <c:v>0</c:v>
                </c:pt>
                <c:pt idx="13">
                  <c:v>-15</c:v>
                </c:pt>
                <c:pt idx="14">
                  <c:v>-30</c:v>
                </c:pt>
                <c:pt idx="15">
                  <c:v>-15</c:v>
                </c:pt>
                <c:pt idx="16">
                  <c:v>-35</c:v>
                </c:pt>
                <c:pt idx="17">
                  <c:v>-35</c:v>
                </c:pt>
                <c:pt idx="18">
                  <c:v>-30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-15</c:v>
                </c:pt>
                <c:pt idx="23">
                  <c:v>0</c:v>
                </c:pt>
                <c:pt idx="24">
                  <c:v>-30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-30</c:v>
                </c:pt>
                <c:pt idx="29">
                  <c:v>0</c:v>
                </c:pt>
                <c:pt idx="30">
                  <c:v>0</c:v>
                </c:pt>
                <c:pt idx="31">
                  <c:v>-30</c:v>
                </c:pt>
                <c:pt idx="32">
                  <c:v>-15</c:v>
                </c:pt>
                <c:pt idx="33">
                  <c:v>-35</c:v>
                </c:pt>
                <c:pt idx="34">
                  <c:v>-30</c:v>
                </c:pt>
                <c:pt idx="35">
                  <c:v>-30</c:v>
                </c:pt>
                <c:pt idx="36">
                  <c:v>-30</c:v>
                </c:pt>
                <c:pt idx="37">
                  <c:v>-15</c:v>
                </c:pt>
                <c:pt idx="38">
                  <c:v>-30</c:v>
                </c:pt>
                <c:pt idx="39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5-4DCC-80C7-61753B822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5 </a:t>
            </a:r>
            <a:r>
              <a:rPr lang="en-US" sz="1200" b="0" i="1" u="none" strike="noStrike" baseline="0">
                <a:effectLst/>
              </a:rPr>
              <a:t>Threat Landscape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7825177188464469"/>
          <c:y val="1.97910948644056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cat>
            <c:strRef>
              <c:f>'DF5'!$A$30:$A$69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'DF5'!$D$30:$D$69</c:f>
              <c:numCache>
                <c:formatCode>0_ ;[Red]\-0\ </c:formatCode>
                <c:ptCount val="40"/>
                <c:pt idx="0">
                  <c:v>-30</c:v>
                </c:pt>
                <c:pt idx="1">
                  <c:v>0</c:v>
                </c:pt>
                <c:pt idx="2">
                  <c:v>-35</c:v>
                </c:pt>
                <c:pt idx="3">
                  <c:v>0</c:v>
                </c:pt>
                <c:pt idx="4">
                  <c:v>-15</c:v>
                </c:pt>
                <c:pt idx="5">
                  <c:v>-30</c:v>
                </c:pt>
                <c:pt idx="6">
                  <c:v>0</c:v>
                </c:pt>
                <c:pt idx="7">
                  <c:v>-30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-15</c:v>
                </c:pt>
                <c:pt idx="12">
                  <c:v>0</c:v>
                </c:pt>
                <c:pt idx="13">
                  <c:v>-15</c:v>
                </c:pt>
                <c:pt idx="14">
                  <c:v>-30</c:v>
                </c:pt>
                <c:pt idx="15">
                  <c:v>-15</c:v>
                </c:pt>
                <c:pt idx="16">
                  <c:v>-35</c:v>
                </c:pt>
                <c:pt idx="17">
                  <c:v>-35</c:v>
                </c:pt>
                <c:pt idx="18">
                  <c:v>-30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-15</c:v>
                </c:pt>
                <c:pt idx="23">
                  <c:v>0</c:v>
                </c:pt>
                <c:pt idx="24">
                  <c:v>-30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-30</c:v>
                </c:pt>
                <c:pt idx="29">
                  <c:v>0</c:v>
                </c:pt>
                <c:pt idx="30">
                  <c:v>0</c:v>
                </c:pt>
                <c:pt idx="31">
                  <c:v>-30</c:v>
                </c:pt>
                <c:pt idx="32">
                  <c:v>-15</c:v>
                </c:pt>
                <c:pt idx="33">
                  <c:v>-35</c:v>
                </c:pt>
                <c:pt idx="34">
                  <c:v>-30</c:v>
                </c:pt>
                <c:pt idx="35">
                  <c:v>-30</c:v>
                </c:pt>
                <c:pt idx="36">
                  <c:v>-30</c:v>
                </c:pt>
                <c:pt idx="37">
                  <c:v>-15</c:v>
                </c:pt>
                <c:pt idx="38">
                  <c:v>-30</c:v>
                </c:pt>
                <c:pt idx="39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8-4EC1-97DF-9280C5896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/>
              <a:t>Design Factor 6 </a:t>
            </a:r>
            <a:r>
              <a:rPr lang="en-US" sz="1200" b="0" i="1"/>
              <a:t>Compliance Requirements</a:t>
            </a:r>
          </a:p>
        </c:rich>
      </c:tx>
      <c:layout>
        <c:manualLayout>
          <c:xMode val="edge"/>
          <c:yMode val="edge"/>
          <c:x val="0.23461333416514718"/>
          <c:y val="2.5731794025138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95-469A-BC52-FD7FB5AA64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95-469A-BC52-FD7FB5AA64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95-469A-BC52-FD7FB5AA64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'DF6'!$A$7:$A$9</c:f>
              <c:strCache>
                <c:ptCount val="3"/>
                <c:pt idx="0">
                  <c:v>High</c:v>
                </c:pt>
                <c:pt idx="1">
                  <c:v>Normal</c:v>
                </c:pt>
                <c:pt idx="2">
                  <c:v>Low</c:v>
                </c:pt>
              </c:strCache>
            </c:strRef>
          </c:cat>
          <c:val>
            <c:numRef>
              <c:f>'DF6'!$B$7:$B$9</c:f>
              <c:numCache>
                <c:formatCode>0%</c:formatCode>
                <c:ptCount val="3"/>
                <c:pt idx="0">
                  <c:v>0.8</c:v>
                </c:pt>
                <c:pt idx="1">
                  <c:v>0.2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95-469A-BC52-FD7FB5AA643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cap="none" baseline="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6 </a:t>
            </a:r>
            <a:r>
              <a:rPr lang="en-US" sz="1200" b="0" i="1" u="none" strike="noStrike" baseline="0">
                <a:effectLst/>
              </a:rPr>
              <a:t>Compliance Requirements</a:t>
            </a:r>
            <a:endParaRPr lang="en-US" sz="1200" i="1"/>
          </a:p>
          <a:p>
            <a:pPr>
              <a:defRPr sz="1200"/>
            </a:pPr>
            <a:r>
              <a:rPr lang="en-US" sz="1200"/>
              <a:t>Resulting Governance/Management</a:t>
            </a:r>
          </a:p>
          <a:p>
            <a:pPr>
              <a:defRPr sz="1200"/>
            </a:pPr>
            <a:r>
              <a:rPr lang="en-US" sz="1200"/>
              <a:t>Objectives Importance</a:t>
            </a:r>
          </a:p>
        </c:rich>
      </c:tx>
      <c:layout>
        <c:manualLayout>
          <c:xMode val="edge"/>
          <c:yMode val="edge"/>
          <c:x val="0.3014328292156665"/>
          <c:y val="1.0020513731953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2D2EE">
                <a:alpha val="48000"/>
              </a:srgbClr>
            </a:solidFill>
            <a:ln>
              <a:noFill/>
            </a:ln>
            <a:effectLst/>
          </c:spPr>
          <c:invertIfNegative val="0"/>
          <c:cat>
            <c:strRef>
              <c:f>'DF6'!$A$30:$A$69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'DF6'!$D$30:$D$69</c:f>
              <c:numCache>
                <c:formatCode>0_ ;[Red]\-0\ </c:formatCode>
                <c:ptCount val="40"/>
                <c:pt idx="0">
                  <c:v>40</c:v>
                </c:pt>
                <c:pt idx="1">
                  <c:v>0</c:v>
                </c:pt>
                <c:pt idx="2">
                  <c:v>80</c:v>
                </c:pt>
                <c:pt idx="3">
                  <c:v>0</c:v>
                </c:pt>
                <c:pt idx="4">
                  <c:v>40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</c:v>
                </c:pt>
                <c:pt idx="15">
                  <c:v>0</c:v>
                </c:pt>
                <c:pt idx="16">
                  <c:v>80</c:v>
                </c:pt>
                <c:pt idx="17">
                  <c:v>40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40</c:v>
                </c:pt>
                <c:pt idx="34">
                  <c:v>80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4-48F5-922C-5BC1D93E8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6 </a:t>
            </a:r>
            <a:r>
              <a:rPr lang="en-US" sz="1200" b="0" i="1" u="none" strike="noStrike" baseline="0">
                <a:effectLst/>
              </a:rPr>
              <a:t>Compliance Requirements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7504508156475759"/>
          <c:y val="1.0514457793420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cat>
            <c:strRef>
              <c:f>'DF6'!$A$30:$A$69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'DF6'!$D$30:$D$69</c:f>
              <c:numCache>
                <c:formatCode>0_ ;[Red]\-0\ </c:formatCode>
                <c:ptCount val="40"/>
                <c:pt idx="0">
                  <c:v>40</c:v>
                </c:pt>
                <c:pt idx="1">
                  <c:v>0</c:v>
                </c:pt>
                <c:pt idx="2">
                  <c:v>80</c:v>
                </c:pt>
                <c:pt idx="3">
                  <c:v>0</c:v>
                </c:pt>
                <c:pt idx="4">
                  <c:v>40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</c:v>
                </c:pt>
                <c:pt idx="15">
                  <c:v>0</c:v>
                </c:pt>
                <c:pt idx="16">
                  <c:v>80</c:v>
                </c:pt>
                <c:pt idx="17">
                  <c:v>40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40</c:v>
                </c:pt>
                <c:pt idx="34">
                  <c:v>80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4-4647-9C17-9111BEC07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</a:rPr>
              <a:t>Design Factor 7 </a:t>
            </a:r>
            <a:r>
              <a:rPr lang="en-US" sz="1200" i="1">
                <a:solidFill>
                  <a:sysClr val="windowText" lastClr="000000"/>
                </a:solidFill>
              </a:rPr>
              <a:t>Role of IT</a:t>
            </a:r>
            <a:r>
              <a:rPr lang="en-US" sz="1200">
                <a:solidFill>
                  <a:sysClr val="windowText" lastClr="000000"/>
                </a:solidFill>
              </a:rPr>
              <a:t> (Input)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EF1D-48F3-B06F-2FBBC8AA20CF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FB-42A0-926C-BD755116F6E2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FB-42A0-926C-BD755116F6E2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1D-48F3-B06F-2FBBC8AA20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'DF7'!$A$6:$A$9</c:f>
              <c:strCache>
                <c:ptCount val="4"/>
                <c:pt idx="0">
                  <c:v>Support</c:v>
                </c:pt>
                <c:pt idx="1">
                  <c:v>Factory</c:v>
                </c:pt>
                <c:pt idx="2">
                  <c:v>Turnaround</c:v>
                </c:pt>
                <c:pt idx="3">
                  <c:v>Strategic</c:v>
                </c:pt>
              </c:strCache>
            </c:strRef>
          </c:cat>
          <c:val>
            <c:numRef>
              <c:f>'DF7'!$B$6:$B$9</c:f>
              <c:numCache>
                <c:formatCode>0</c:formatCode>
                <c:ptCount val="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1D-48F3-B06F-2FBBC8AA2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801629848"/>
        <c:axId val="801625584"/>
      </c:barChart>
      <c:catAx>
        <c:axId val="801629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5584"/>
        <c:crosses val="autoZero"/>
        <c:auto val="1"/>
        <c:lblAlgn val="ctr"/>
        <c:lblOffset val="100"/>
        <c:noMultiLvlLbl val="0"/>
      </c:catAx>
      <c:valAx>
        <c:axId val="801625584"/>
        <c:scaling>
          <c:orientation val="minMax"/>
          <c:max val="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29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7 </a:t>
            </a:r>
            <a:r>
              <a:rPr lang="en-US" sz="1200" b="0" i="1" u="none" strike="noStrike" baseline="0">
                <a:effectLst/>
              </a:rPr>
              <a:t>Role of IT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445665798020834"/>
          <c:y val="3.8728192977889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086611115716466E-2"/>
          <c:y val="0.14739681894551487"/>
          <c:w val="0.84527861591747266"/>
          <c:h val="0.8317530197622345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D2EE">
                <a:alpha val="48000"/>
              </a:srgbClr>
            </a:solidFill>
            <a:ln>
              <a:noFill/>
            </a:ln>
            <a:effectLst/>
          </c:spPr>
          <c:invertIfNegative val="0"/>
          <c:cat>
            <c:strRef>
              <c:f>'DF7'!$A$32:$A$71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'DF7'!$D$32:$D$71</c:f>
              <c:numCache>
                <c:formatCode>0_ ;[Red]\-0\ </c:formatCode>
                <c:ptCount val="40"/>
                <c:pt idx="0">
                  <c:v>-25</c:v>
                </c:pt>
                <c:pt idx="1">
                  <c:v>-25</c:v>
                </c:pt>
                <c:pt idx="2">
                  <c:v>-25</c:v>
                </c:pt>
                <c:pt idx="3">
                  <c:v>-10</c:v>
                </c:pt>
                <c:pt idx="4">
                  <c:v>-10</c:v>
                </c:pt>
                <c:pt idx="5">
                  <c:v>-20</c:v>
                </c:pt>
                <c:pt idx="6">
                  <c:v>-25</c:v>
                </c:pt>
                <c:pt idx="7">
                  <c:v>-15</c:v>
                </c:pt>
                <c:pt idx="8">
                  <c:v>-40</c:v>
                </c:pt>
                <c:pt idx="9">
                  <c:v>-25</c:v>
                </c:pt>
                <c:pt idx="10">
                  <c:v>-10</c:v>
                </c:pt>
                <c:pt idx="11">
                  <c:v>-5</c:v>
                </c:pt>
                <c:pt idx="12">
                  <c:v>-20</c:v>
                </c:pt>
                <c:pt idx="13">
                  <c:v>-20</c:v>
                </c:pt>
                <c:pt idx="14">
                  <c:v>-20</c:v>
                </c:pt>
                <c:pt idx="15">
                  <c:v>-15</c:v>
                </c:pt>
                <c:pt idx="16">
                  <c:v>-25</c:v>
                </c:pt>
                <c:pt idx="17">
                  <c:v>-25</c:v>
                </c:pt>
                <c:pt idx="18">
                  <c:v>-20</c:v>
                </c:pt>
                <c:pt idx="19">
                  <c:v>-20</c:v>
                </c:pt>
                <c:pt idx="20">
                  <c:v>-25</c:v>
                </c:pt>
                <c:pt idx="21">
                  <c:v>-25</c:v>
                </c:pt>
                <c:pt idx="22">
                  <c:v>-20</c:v>
                </c:pt>
                <c:pt idx="23">
                  <c:v>-10</c:v>
                </c:pt>
                <c:pt idx="24">
                  <c:v>-20</c:v>
                </c:pt>
                <c:pt idx="25">
                  <c:v>-15</c:v>
                </c:pt>
                <c:pt idx="26">
                  <c:v>-10</c:v>
                </c:pt>
                <c:pt idx="27">
                  <c:v>-10</c:v>
                </c:pt>
                <c:pt idx="28">
                  <c:v>-15</c:v>
                </c:pt>
                <c:pt idx="29">
                  <c:v>-15</c:v>
                </c:pt>
                <c:pt idx="30">
                  <c:v>-25</c:v>
                </c:pt>
                <c:pt idx="31">
                  <c:v>-25</c:v>
                </c:pt>
                <c:pt idx="32">
                  <c:v>-30</c:v>
                </c:pt>
                <c:pt idx="33">
                  <c:v>-30</c:v>
                </c:pt>
                <c:pt idx="34">
                  <c:v>-15</c:v>
                </c:pt>
                <c:pt idx="35">
                  <c:v>-15</c:v>
                </c:pt>
                <c:pt idx="36">
                  <c:v>-10</c:v>
                </c:pt>
                <c:pt idx="37">
                  <c:v>-10</c:v>
                </c:pt>
                <c:pt idx="38">
                  <c:v>-5</c:v>
                </c:pt>
                <c:pt idx="39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F-44D0-8E6B-E231A3210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Design Factor 7 </a:t>
            </a:r>
            <a:r>
              <a:rPr lang="en-US" sz="1200" i="1"/>
              <a:t>Role of IT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8163423506533832"/>
          <c:y val="2.0328381548084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cat>
            <c:strRef>
              <c:f>'DF7'!$A$32:$A$71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'DF7'!$D$32:$D$71</c:f>
              <c:numCache>
                <c:formatCode>0_ ;[Red]\-0\ </c:formatCode>
                <c:ptCount val="40"/>
                <c:pt idx="0">
                  <c:v>-25</c:v>
                </c:pt>
                <c:pt idx="1">
                  <c:v>-25</c:v>
                </c:pt>
                <c:pt idx="2">
                  <c:v>-25</c:v>
                </c:pt>
                <c:pt idx="3">
                  <c:v>-10</c:v>
                </c:pt>
                <c:pt idx="4">
                  <c:v>-10</c:v>
                </c:pt>
                <c:pt idx="5">
                  <c:v>-20</c:v>
                </c:pt>
                <c:pt idx="6">
                  <c:v>-25</c:v>
                </c:pt>
                <c:pt idx="7">
                  <c:v>-15</c:v>
                </c:pt>
                <c:pt idx="8">
                  <c:v>-40</c:v>
                </c:pt>
                <c:pt idx="9">
                  <c:v>-25</c:v>
                </c:pt>
                <c:pt idx="10">
                  <c:v>-10</c:v>
                </c:pt>
                <c:pt idx="11">
                  <c:v>-5</c:v>
                </c:pt>
                <c:pt idx="12">
                  <c:v>-20</c:v>
                </c:pt>
                <c:pt idx="13">
                  <c:v>-20</c:v>
                </c:pt>
                <c:pt idx="14">
                  <c:v>-20</c:v>
                </c:pt>
                <c:pt idx="15">
                  <c:v>-15</c:v>
                </c:pt>
                <c:pt idx="16">
                  <c:v>-25</c:v>
                </c:pt>
                <c:pt idx="17">
                  <c:v>-25</c:v>
                </c:pt>
                <c:pt idx="18">
                  <c:v>-20</c:v>
                </c:pt>
                <c:pt idx="19">
                  <c:v>-20</c:v>
                </c:pt>
                <c:pt idx="20">
                  <c:v>-25</c:v>
                </c:pt>
                <c:pt idx="21">
                  <c:v>-25</c:v>
                </c:pt>
                <c:pt idx="22">
                  <c:v>-20</c:v>
                </c:pt>
                <c:pt idx="23">
                  <c:v>-10</c:v>
                </c:pt>
                <c:pt idx="24">
                  <c:v>-20</c:v>
                </c:pt>
                <c:pt idx="25">
                  <c:v>-15</c:v>
                </c:pt>
                <c:pt idx="26">
                  <c:v>-10</c:v>
                </c:pt>
                <c:pt idx="27">
                  <c:v>-10</c:v>
                </c:pt>
                <c:pt idx="28">
                  <c:v>-15</c:v>
                </c:pt>
                <c:pt idx="29">
                  <c:v>-15</c:v>
                </c:pt>
                <c:pt idx="30">
                  <c:v>-25</c:v>
                </c:pt>
                <c:pt idx="31">
                  <c:v>-25</c:v>
                </c:pt>
                <c:pt idx="32">
                  <c:v>-30</c:v>
                </c:pt>
                <c:pt idx="33">
                  <c:v>-30</c:v>
                </c:pt>
                <c:pt idx="34">
                  <c:v>-15</c:v>
                </c:pt>
                <c:pt idx="35">
                  <c:v>-15</c:v>
                </c:pt>
                <c:pt idx="36">
                  <c:v>-10</c:v>
                </c:pt>
                <c:pt idx="37">
                  <c:v>-10</c:v>
                </c:pt>
                <c:pt idx="38">
                  <c:v>-5</c:v>
                </c:pt>
                <c:pt idx="39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8-4A6A-85BC-FB4838F5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cap="none" baseline="0"/>
              <a:t>Design Factor 8 </a:t>
            </a:r>
            <a:r>
              <a:rPr lang="en-US" sz="1200" b="0" i="1" cap="none" baseline="0"/>
              <a:t>IT Sourcing Model</a:t>
            </a:r>
            <a:r>
              <a:rPr lang="en-US" sz="1200" b="0" cap="none" baseline="0"/>
              <a:t> (Input) </a:t>
            </a:r>
          </a:p>
        </c:rich>
      </c:tx>
      <c:layout>
        <c:manualLayout>
          <c:xMode val="edge"/>
          <c:yMode val="edge"/>
          <c:x val="0.25563756182975955"/>
          <c:y val="1.2300335053378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87-40BF-B676-67E4F5056C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87-40BF-B676-67E4F5056C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787-40BF-B676-67E4F5056C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'DF8'!$A$6:$A$8</c:f>
              <c:strCache>
                <c:ptCount val="3"/>
                <c:pt idx="0">
                  <c:v>Outsourcing</c:v>
                </c:pt>
                <c:pt idx="1">
                  <c:v>Cloud</c:v>
                </c:pt>
                <c:pt idx="2">
                  <c:v>Insourced</c:v>
                </c:pt>
              </c:strCache>
            </c:strRef>
          </c:cat>
          <c:val>
            <c:numRef>
              <c:f>'DF8'!$B$6:$B$8</c:f>
              <c:numCache>
                <c:formatCode>0%</c:formatCode>
                <c:ptCount val="3"/>
                <c:pt idx="0">
                  <c:v>0.2</c:v>
                </c:pt>
                <c:pt idx="1">
                  <c:v>0.1</c:v>
                </c:pt>
                <c:pt idx="2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87-40BF-B676-67E4F5056C8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8 </a:t>
            </a:r>
            <a:r>
              <a:rPr lang="en-US" sz="1200" b="0" i="1" u="none" strike="noStrike" baseline="0">
                <a:effectLst/>
              </a:rPr>
              <a:t>Sourcing Model for IT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20665649591838672"/>
          <c:y val="4.5567764232227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34488802845668E-2"/>
          <c:y val="0.1824363789885298"/>
          <c:w val="0.86489176215677244"/>
          <c:h val="0.7964146846450345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D2EE">
                <a:alpha val="48000"/>
              </a:srgbClr>
            </a:solidFill>
            <a:ln>
              <a:noFill/>
            </a:ln>
            <a:effectLst/>
          </c:spPr>
          <c:invertIfNegative val="0"/>
          <c:cat>
            <c:strRef>
              <c:f>'DF8'!$A$32:$A$71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'DF8'!$D$32:$D$71</c:f>
              <c:numCache>
                <c:formatCode>0_ ;[Red]\-0\ 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-15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-35</c:v>
                </c:pt>
                <c:pt idx="14">
                  <c:v>-35</c:v>
                </c:pt>
                <c:pt idx="15">
                  <c:v>0</c:v>
                </c:pt>
                <c:pt idx="16">
                  <c:v>-20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-30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4-4FC2-ABDC-CBDB552C7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8 </a:t>
            </a:r>
            <a:r>
              <a:rPr lang="en-US" sz="1200" b="0" i="1" u="none" strike="noStrike" baseline="0">
                <a:effectLst/>
              </a:rPr>
              <a:t>Sourcing Model for IT</a:t>
            </a:r>
          </a:p>
          <a:p>
            <a:pPr>
              <a:defRPr sz="1200"/>
            </a:pPr>
            <a:r>
              <a:rPr lang="en-US" sz="1200"/>
              <a:t>Resulting Governance/ Management Objectives Importance </a:t>
            </a:r>
          </a:p>
        </c:rich>
      </c:tx>
      <c:layout>
        <c:manualLayout>
          <c:xMode val="edge"/>
          <c:yMode val="edge"/>
          <c:x val="0.17723551747140293"/>
          <c:y val="4.0438546714140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cat>
            <c:strRef>
              <c:f>'DF8'!$A$32:$A$71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'DF8'!$D$32:$D$71</c:f>
              <c:numCache>
                <c:formatCode>0_ ;[Red]\-0\ 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-15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-35</c:v>
                </c:pt>
                <c:pt idx="14">
                  <c:v>-35</c:v>
                </c:pt>
                <c:pt idx="15">
                  <c:v>0</c:v>
                </c:pt>
                <c:pt idx="16">
                  <c:v>-20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-30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4-45A2-B98B-A06EC7DAC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cap="none" baseline="0"/>
              <a:t>Design Factor 9 </a:t>
            </a:r>
            <a:r>
              <a:rPr lang="en-US" sz="1200" b="0" i="1" cap="none" baseline="0"/>
              <a:t>IT Implementation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6C-4C34-B29C-6A2E4A83FF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6C-4C34-B29C-6A2E4A83FF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AB-4457-92F2-11454595FF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'DF9'!$A$6:$A$8</c:f>
              <c:strCache>
                <c:ptCount val="3"/>
                <c:pt idx="0">
                  <c:v>Agile</c:v>
                </c:pt>
                <c:pt idx="1">
                  <c:v>DevOps</c:v>
                </c:pt>
                <c:pt idx="2">
                  <c:v>Traditional</c:v>
                </c:pt>
              </c:strCache>
            </c:strRef>
          </c:cat>
          <c:val>
            <c:numRef>
              <c:f>'DF9'!$B$6:$B$8</c:f>
              <c:numCache>
                <c:formatCode>0%</c:formatCode>
                <c:ptCount val="3"/>
                <c:pt idx="0">
                  <c:v>0.5</c:v>
                </c:pt>
                <c:pt idx="1">
                  <c:v>0.1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6C-4C34-B29C-6A2E4A83FF4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9  </a:t>
            </a:r>
            <a:r>
              <a:rPr lang="en-US" sz="1200" b="0" i="1" u="none" strike="noStrike" baseline="0">
                <a:effectLst/>
              </a:rPr>
              <a:t>IT Implementation Methods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1651885640448768"/>
          <c:y val="5.4535981215530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845191649894752E-2"/>
          <c:y val="0.21155208637378656"/>
          <c:w val="0.86120042617754466"/>
          <c:h val="0.7669942821529419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D2EE">
                <a:alpha val="48000"/>
              </a:srgbClr>
            </a:solidFill>
            <a:ln>
              <a:noFill/>
            </a:ln>
            <a:effectLst/>
          </c:spPr>
          <c:invertIfNegative val="0"/>
          <c:cat>
            <c:strRef>
              <c:f>'DF9'!$A$28:$A$67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'DF9'!$D$28:$D$67</c:f>
              <c:numCache>
                <c:formatCode>0_ ;[Red]\-0\ 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30</c:v>
                </c:pt>
                <c:pt idx="20">
                  <c:v>60</c:v>
                </c:pt>
                <c:pt idx="21">
                  <c:v>65</c:v>
                </c:pt>
                <c:pt idx="22">
                  <c:v>0</c:v>
                </c:pt>
                <c:pt idx="23">
                  <c:v>40</c:v>
                </c:pt>
                <c:pt idx="24">
                  <c:v>60</c:v>
                </c:pt>
                <c:pt idx="25">
                  <c:v>40</c:v>
                </c:pt>
                <c:pt idx="26">
                  <c:v>0</c:v>
                </c:pt>
                <c:pt idx="27">
                  <c:v>0</c:v>
                </c:pt>
                <c:pt idx="28">
                  <c:v>15</c:v>
                </c:pt>
                <c:pt idx="29">
                  <c:v>45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B-4F79-A5F4-78142ED85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9  </a:t>
            </a:r>
            <a:r>
              <a:rPr lang="en-US" sz="1200" b="0" i="1" u="none" strike="noStrike" baseline="0">
                <a:effectLst/>
              </a:rPr>
              <a:t>IT Implementation Methods</a:t>
            </a:r>
            <a:endParaRPr lang="en-US" sz="1200" i="1"/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9336526493098929"/>
          <c:y val="3.1211131556247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cat>
            <c:strRef>
              <c:f>'DF9'!$A$28:$A$67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'DF9'!$D$28:$D$67</c:f>
              <c:numCache>
                <c:formatCode>0_ ;[Red]\-0\ 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30</c:v>
                </c:pt>
                <c:pt idx="20">
                  <c:v>60</c:v>
                </c:pt>
                <c:pt idx="21">
                  <c:v>65</c:v>
                </c:pt>
                <c:pt idx="22">
                  <c:v>0</c:v>
                </c:pt>
                <c:pt idx="23">
                  <c:v>40</c:v>
                </c:pt>
                <c:pt idx="24">
                  <c:v>60</c:v>
                </c:pt>
                <c:pt idx="25">
                  <c:v>40</c:v>
                </c:pt>
                <c:pt idx="26">
                  <c:v>0</c:v>
                </c:pt>
                <c:pt idx="27">
                  <c:v>0</c:v>
                </c:pt>
                <c:pt idx="28">
                  <c:v>15</c:v>
                </c:pt>
                <c:pt idx="29">
                  <c:v>45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9-495B-965A-39F5DB562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cap="none" baseline="0"/>
              <a:t>Design Factor 10 </a:t>
            </a:r>
            <a:r>
              <a:rPr lang="en-US" sz="1200" b="0" i="1" cap="none" baseline="0"/>
              <a:t>Technology Adoption Strategy</a:t>
            </a:r>
          </a:p>
        </c:rich>
      </c:tx>
      <c:layout>
        <c:manualLayout>
          <c:xMode val="edge"/>
          <c:yMode val="edge"/>
          <c:x val="0.1709332757493624"/>
          <c:y val="3.3481863373146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20-4869-B5DB-16E29718F9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20-4869-B5DB-16E29718F9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0A1-4EB9-BDB6-5672F1688B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'DF10'!$A$6:$A$8</c:f>
              <c:strCache>
                <c:ptCount val="3"/>
                <c:pt idx="0">
                  <c:v>First mover</c:v>
                </c:pt>
                <c:pt idx="1">
                  <c:v>Follower</c:v>
                </c:pt>
                <c:pt idx="2">
                  <c:v>Slow adopter</c:v>
                </c:pt>
              </c:strCache>
            </c:strRef>
          </c:cat>
          <c:val>
            <c:numRef>
              <c:f>'DF10'!$B$6:$B$8</c:f>
              <c:numCache>
                <c:formatCode>0%</c:formatCode>
                <c:ptCount val="3"/>
                <c:pt idx="0">
                  <c:v>0.1</c:v>
                </c:pt>
                <c:pt idx="1">
                  <c:v>0.8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20-4869-B5DB-16E29718F99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10 </a:t>
            </a:r>
            <a:r>
              <a:rPr lang="en-US" sz="1200" b="0" i="1" u="none" strike="noStrike" baseline="0">
                <a:effectLst/>
              </a:rPr>
              <a:t>Technology Adoption Strategy</a:t>
            </a:r>
            <a:endParaRPr lang="en-US" sz="1200" i="1"/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5466916637942388"/>
          <c:y val="4.042366178713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332812600921557E-2"/>
          <c:y val="0.19521960057477244"/>
          <c:w val="0.86412223016518563"/>
          <c:h val="0.7827044690109311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D2EE">
                <a:alpha val="48000"/>
              </a:srgbClr>
            </a:solidFill>
            <a:ln>
              <a:noFill/>
            </a:ln>
            <a:effectLst/>
          </c:spPr>
          <c:invertIfNegative val="0"/>
          <c:cat>
            <c:strRef>
              <c:f>'DF10'!$A$22:$A$61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'DF10'!$D$22:$D$61</c:f>
              <c:numCache>
                <c:formatCode>0_ ;[Red]\-0\ 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-5</c:v>
                </c:pt>
                <c:pt idx="12">
                  <c:v>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2-41E5-A07C-E985A96D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78952776"/>
        <c:axId val="478953432"/>
      </c:barChart>
      <c:catAx>
        <c:axId val="47895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Design Factor 10 </a:t>
            </a:r>
            <a:r>
              <a:rPr lang="en-US" sz="1200" b="0" i="1" u="none" strike="noStrike" baseline="0">
                <a:effectLst/>
              </a:rPr>
              <a:t>Technology Adoption Strategy</a:t>
            </a:r>
          </a:p>
          <a:p>
            <a:pPr>
              <a:defRPr sz="1200"/>
            </a:pPr>
            <a:r>
              <a:rPr lang="en-US" sz="1200"/>
              <a:t>Resulting Governance/Management Objectives Importance</a:t>
            </a:r>
          </a:p>
        </c:rich>
      </c:tx>
      <c:layout>
        <c:manualLayout>
          <c:xMode val="edge"/>
          <c:yMode val="edge"/>
          <c:x val="0.17544892153339608"/>
          <c:y val="5.08613123350522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F2D2EE"/>
            </a:solidFill>
            <a:ln>
              <a:noFill/>
            </a:ln>
            <a:effectLst/>
          </c:spPr>
          <c:cat>
            <c:strRef>
              <c:f>'DF10'!$A$22:$A$61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'DF10'!$D$22:$D$61</c:f>
              <c:numCache>
                <c:formatCode>0_ ;[Red]\-0\ 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-5</c:v>
                </c:pt>
                <c:pt idx="12">
                  <c:v>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2-4E28-9AD2-796270BC7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</a:rPr>
              <a:t>Governance and Management Objectives Importance (All Design Factors)</a:t>
            </a:r>
          </a:p>
        </c:rich>
      </c:tx>
      <c:layout>
        <c:manualLayout>
          <c:xMode val="edge"/>
          <c:yMode val="edge"/>
          <c:x val="0.14473449361286431"/>
          <c:y val="8.284023282671420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numFmt formatCode="#,##0_ ;[Red]\-#,##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'DF10'!$A$22:$A$61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Canvas!$Q$6:$Q$45</c:f>
              <c:numCache>
                <c:formatCode>General</c:formatCode>
                <c:ptCount val="40"/>
                <c:pt idx="0">
                  <c:v>-30</c:v>
                </c:pt>
                <c:pt idx="1">
                  <c:v>-25</c:v>
                </c:pt>
                <c:pt idx="2">
                  <c:v>40</c:v>
                </c:pt>
                <c:pt idx="3">
                  <c:v>-45</c:v>
                </c:pt>
                <c:pt idx="4">
                  <c:v>10</c:v>
                </c:pt>
                <c:pt idx="5">
                  <c:v>-15</c:v>
                </c:pt>
                <c:pt idx="6">
                  <c:v>-65</c:v>
                </c:pt>
                <c:pt idx="7">
                  <c:v>-50</c:v>
                </c:pt>
                <c:pt idx="8">
                  <c:v>-90</c:v>
                </c:pt>
                <c:pt idx="9">
                  <c:v>-60</c:v>
                </c:pt>
                <c:pt idx="10">
                  <c:v>-40</c:v>
                </c:pt>
                <c:pt idx="11">
                  <c:v>-35</c:v>
                </c:pt>
                <c:pt idx="12">
                  <c:v>-10</c:v>
                </c:pt>
                <c:pt idx="13">
                  <c:v>-50</c:v>
                </c:pt>
                <c:pt idx="14">
                  <c:v>-55</c:v>
                </c:pt>
                <c:pt idx="15">
                  <c:v>10</c:v>
                </c:pt>
                <c:pt idx="16">
                  <c:v>70</c:v>
                </c:pt>
                <c:pt idx="17">
                  <c:v>65</c:v>
                </c:pt>
                <c:pt idx="18">
                  <c:v>10</c:v>
                </c:pt>
                <c:pt idx="19">
                  <c:v>-20</c:v>
                </c:pt>
                <c:pt idx="20">
                  <c:v>20</c:v>
                </c:pt>
                <c:pt idx="21">
                  <c:v>35</c:v>
                </c:pt>
                <c:pt idx="22">
                  <c:v>-30</c:v>
                </c:pt>
                <c:pt idx="23">
                  <c:v>0</c:v>
                </c:pt>
                <c:pt idx="24">
                  <c:v>50</c:v>
                </c:pt>
                <c:pt idx="25">
                  <c:v>40</c:v>
                </c:pt>
                <c:pt idx="26">
                  <c:v>-10</c:v>
                </c:pt>
                <c:pt idx="27">
                  <c:v>40</c:v>
                </c:pt>
                <c:pt idx="28">
                  <c:v>25</c:v>
                </c:pt>
                <c:pt idx="29">
                  <c:v>-5</c:v>
                </c:pt>
                <c:pt idx="30">
                  <c:v>10</c:v>
                </c:pt>
                <c:pt idx="31">
                  <c:v>30</c:v>
                </c:pt>
                <c:pt idx="32">
                  <c:v>20</c:v>
                </c:pt>
                <c:pt idx="33">
                  <c:v>45</c:v>
                </c:pt>
                <c:pt idx="34">
                  <c:v>100</c:v>
                </c:pt>
                <c:pt idx="35">
                  <c:v>10</c:v>
                </c:pt>
                <c:pt idx="36">
                  <c:v>-35</c:v>
                </c:pt>
                <c:pt idx="37">
                  <c:v>-5</c:v>
                </c:pt>
                <c:pt idx="38">
                  <c:v>80</c:v>
                </c:pt>
                <c:pt idx="3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C-4713-A54E-AF1E8533C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662730312"/>
        <c:axId val="662725064"/>
      </c:barChart>
      <c:catAx>
        <c:axId val="6627303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25064"/>
        <c:crosses val="autoZero"/>
        <c:auto val="1"/>
        <c:lblAlgn val="ctr"/>
        <c:lblOffset val="100"/>
        <c:noMultiLvlLbl val="0"/>
      </c:catAx>
      <c:valAx>
        <c:axId val="662725064"/>
        <c:scaling>
          <c:orientation val="minMax"/>
          <c:max val="100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30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1 </a:t>
            </a:r>
            <a:r>
              <a:rPr lang="en-US" sz="1600" b="0" i="1" u="none" strike="noStrike" baseline="0">
                <a:effectLst/>
              </a:rPr>
              <a:t>Enterprise Strategy</a:t>
            </a:r>
          </a:p>
          <a:p>
            <a:pPr>
              <a:defRPr sz="1600"/>
            </a:pPr>
            <a:r>
              <a:rPr lang="en-US" sz="1600"/>
              <a:t>Resulting Governance/Management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7030A0">
                <a:alpha val="48000"/>
              </a:srgbClr>
            </a:solidFill>
            <a:ln>
              <a:noFill/>
            </a:ln>
            <a:effectLst/>
          </c:spPr>
          <c:cat>
            <c:strRef>
              <c:f>'DF1'!$A$22:$A$61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'DF1'!$D$22:$D$61</c:f>
              <c:numCache>
                <c:formatCode>###0;[Red]\-###0</c:formatCode>
                <c:ptCount val="40"/>
                <c:pt idx="0">
                  <c:v>5</c:v>
                </c:pt>
                <c:pt idx="1">
                  <c:v>20</c:v>
                </c:pt>
                <c:pt idx="2">
                  <c:v>15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-20</c:v>
                </c:pt>
                <c:pt idx="7">
                  <c:v>-15</c:v>
                </c:pt>
                <c:pt idx="8">
                  <c:v>-15</c:v>
                </c:pt>
                <c:pt idx="9">
                  <c:v>-15</c:v>
                </c:pt>
                <c:pt idx="10">
                  <c:v>0</c:v>
                </c:pt>
                <c:pt idx="11">
                  <c:v>-5</c:v>
                </c:pt>
                <c:pt idx="12">
                  <c:v>20</c:v>
                </c:pt>
                <c:pt idx="13">
                  <c:v>25</c:v>
                </c:pt>
                <c:pt idx="14">
                  <c:v>5</c:v>
                </c:pt>
                <c:pt idx="15">
                  <c:v>30</c:v>
                </c:pt>
                <c:pt idx="16">
                  <c:v>15</c:v>
                </c:pt>
                <c:pt idx="17">
                  <c:v>20</c:v>
                </c:pt>
                <c:pt idx="18">
                  <c:v>0</c:v>
                </c:pt>
                <c:pt idx="19">
                  <c:v>-10</c:v>
                </c:pt>
                <c:pt idx="20">
                  <c:v>0</c:v>
                </c:pt>
                <c:pt idx="21">
                  <c:v>0</c:v>
                </c:pt>
                <c:pt idx="22">
                  <c:v>20</c:v>
                </c:pt>
                <c:pt idx="23">
                  <c:v>-10</c:v>
                </c:pt>
                <c:pt idx="24">
                  <c:v>-5</c:v>
                </c:pt>
                <c:pt idx="25">
                  <c:v>-5</c:v>
                </c:pt>
                <c:pt idx="26">
                  <c:v>-15</c:v>
                </c:pt>
                <c:pt idx="27">
                  <c:v>0</c:v>
                </c:pt>
                <c:pt idx="28">
                  <c:v>0</c:v>
                </c:pt>
                <c:pt idx="29">
                  <c:v>-15</c:v>
                </c:pt>
                <c:pt idx="30">
                  <c:v>5</c:v>
                </c:pt>
                <c:pt idx="31">
                  <c:v>30</c:v>
                </c:pt>
                <c:pt idx="32">
                  <c:v>20</c:v>
                </c:pt>
                <c:pt idx="33">
                  <c:v>30</c:v>
                </c:pt>
                <c:pt idx="34">
                  <c:v>20</c:v>
                </c:pt>
                <c:pt idx="35">
                  <c:v>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9-4C7E-BC35-2551E1DB2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;[Red]\-###0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2 </a:t>
            </a:r>
            <a:r>
              <a:rPr lang="en-US" sz="1600" b="0" i="1" u="none" strike="noStrike" baseline="0">
                <a:effectLst/>
              </a:rPr>
              <a:t>Enterprise Goals</a:t>
            </a:r>
          </a:p>
          <a:p>
            <a:pPr>
              <a:defRPr sz="1600"/>
            </a:pPr>
            <a:r>
              <a:rPr lang="en-US" sz="1600"/>
              <a:t>Resulting Governance/ 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7030A0">
                <a:alpha val="48000"/>
              </a:srgbClr>
            </a:solidFill>
            <a:ln>
              <a:noFill/>
            </a:ln>
            <a:effectLst/>
          </c:spPr>
          <c:cat>
            <c:strRef>
              <c:f>'DF2'!$A$31:$A$70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'DF2'!$D$31:$D$70</c:f>
              <c:numCache>
                <c:formatCode>0_ ;[Red]\-0\ </c:formatCode>
                <c:ptCount val="40"/>
                <c:pt idx="0">
                  <c:v>-10</c:v>
                </c:pt>
                <c:pt idx="1">
                  <c:v>-25</c:v>
                </c:pt>
                <c:pt idx="2">
                  <c:v>20</c:v>
                </c:pt>
                <c:pt idx="3">
                  <c:v>-25</c:v>
                </c:pt>
                <c:pt idx="4">
                  <c:v>15</c:v>
                </c:pt>
                <c:pt idx="5">
                  <c:v>-5</c:v>
                </c:pt>
                <c:pt idx="6">
                  <c:v>-25</c:v>
                </c:pt>
                <c:pt idx="7">
                  <c:v>-20</c:v>
                </c:pt>
                <c:pt idx="8">
                  <c:v>-30</c:v>
                </c:pt>
                <c:pt idx="9">
                  <c:v>-25</c:v>
                </c:pt>
                <c:pt idx="10">
                  <c:v>-5</c:v>
                </c:pt>
                <c:pt idx="11">
                  <c:v>-20</c:v>
                </c:pt>
                <c:pt idx="12">
                  <c:v>-25</c:v>
                </c:pt>
                <c:pt idx="13">
                  <c:v>-20</c:v>
                </c:pt>
                <c:pt idx="14">
                  <c:v>-25</c:v>
                </c:pt>
                <c:pt idx="15">
                  <c:v>-10</c:v>
                </c:pt>
                <c:pt idx="16">
                  <c:v>20</c:v>
                </c:pt>
                <c:pt idx="17">
                  <c:v>20</c:v>
                </c:pt>
                <c:pt idx="18">
                  <c:v>15</c:v>
                </c:pt>
                <c:pt idx="19">
                  <c:v>-25</c:v>
                </c:pt>
                <c:pt idx="20">
                  <c:v>-25</c:v>
                </c:pt>
                <c:pt idx="21">
                  <c:v>-25</c:v>
                </c:pt>
                <c:pt idx="22">
                  <c:v>-15</c:v>
                </c:pt>
                <c:pt idx="23">
                  <c:v>-25</c:v>
                </c:pt>
                <c:pt idx="24">
                  <c:v>-25</c:v>
                </c:pt>
                <c:pt idx="25">
                  <c:v>-25</c:v>
                </c:pt>
                <c:pt idx="26">
                  <c:v>-25</c:v>
                </c:pt>
                <c:pt idx="27">
                  <c:v>15</c:v>
                </c:pt>
                <c:pt idx="28">
                  <c:v>-20</c:v>
                </c:pt>
                <c:pt idx="29">
                  <c:v>-25</c:v>
                </c:pt>
                <c:pt idx="30">
                  <c:v>-20</c:v>
                </c:pt>
                <c:pt idx="31">
                  <c:v>-5</c:v>
                </c:pt>
                <c:pt idx="32">
                  <c:v>-5</c:v>
                </c:pt>
                <c:pt idx="33">
                  <c:v>-5</c:v>
                </c:pt>
                <c:pt idx="34">
                  <c:v>10</c:v>
                </c:pt>
                <c:pt idx="35">
                  <c:v>-10</c:v>
                </c:pt>
                <c:pt idx="36">
                  <c:v>-5</c:v>
                </c:pt>
                <c:pt idx="37">
                  <c:v>5</c:v>
                </c:pt>
                <c:pt idx="38">
                  <c:v>20</c:v>
                </c:pt>
                <c:pt idx="3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9-4C3B-BD5F-206DEAFD6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3 </a:t>
            </a:r>
            <a:r>
              <a:rPr lang="en-US" sz="1600" b="0" i="1" u="none" strike="noStrike" baseline="0">
                <a:effectLst/>
              </a:rPr>
              <a:t>Risk Profile</a:t>
            </a:r>
          </a:p>
          <a:p>
            <a:pPr>
              <a:defRPr sz="1600"/>
            </a:pPr>
            <a:r>
              <a:rPr lang="en-US" sz="1600"/>
              <a:t>Resulting Governance/Management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7030A0">
                <a:alpha val="48000"/>
              </a:srgbClr>
            </a:solidFill>
            <a:ln>
              <a:noFill/>
            </a:ln>
            <a:effectLst/>
          </c:spPr>
          <c:cat>
            <c:strRef>
              <c:f>'DF3'!$A$35:$A$74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'DF3'!$D$35:$D$74</c:f>
              <c:numCache>
                <c:formatCode>0_ ;[Red]\-0\ </c:formatCode>
                <c:ptCount val="40"/>
                <c:pt idx="0">
                  <c:v>-15</c:v>
                </c:pt>
                <c:pt idx="1">
                  <c:v>5</c:v>
                </c:pt>
                <c:pt idx="2">
                  <c:v>5</c:v>
                </c:pt>
                <c:pt idx="3">
                  <c:v>-15</c:v>
                </c:pt>
                <c:pt idx="4">
                  <c:v>-20</c:v>
                </c:pt>
                <c:pt idx="5">
                  <c:v>10</c:v>
                </c:pt>
                <c:pt idx="6">
                  <c:v>-5</c:v>
                </c:pt>
                <c:pt idx="7">
                  <c:v>20</c:v>
                </c:pt>
                <c:pt idx="8">
                  <c:v>-20</c:v>
                </c:pt>
                <c:pt idx="9">
                  <c:v>-10</c:v>
                </c:pt>
                <c:pt idx="10">
                  <c:v>-40</c:v>
                </c:pt>
                <c:pt idx="11">
                  <c:v>0</c:v>
                </c:pt>
                <c:pt idx="12">
                  <c:v>15</c:v>
                </c:pt>
                <c:pt idx="13">
                  <c:v>0</c:v>
                </c:pt>
                <c:pt idx="14">
                  <c:v>-10</c:v>
                </c:pt>
                <c:pt idx="15">
                  <c:v>20</c:v>
                </c:pt>
                <c:pt idx="16">
                  <c:v>45</c:v>
                </c:pt>
                <c:pt idx="17">
                  <c:v>50</c:v>
                </c:pt>
                <c:pt idx="18">
                  <c:v>15</c:v>
                </c:pt>
                <c:pt idx="19">
                  <c:v>-5</c:v>
                </c:pt>
                <c:pt idx="20">
                  <c:v>20</c:v>
                </c:pt>
                <c:pt idx="21">
                  <c:v>30</c:v>
                </c:pt>
                <c:pt idx="22">
                  <c:v>-5</c:v>
                </c:pt>
                <c:pt idx="23">
                  <c:v>5</c:v>
                </c:pt>
                <c:pt idx="24">
                  <c:v>75</c:v>
                </c:pt>
                <c:pt idx="25">
                  <c:v>50</c:v>
                </c:pt>
                <c:pt idx="26">
                  <c:v>35</c:v>
                </c:pt>
                <c:pt idx="27">
                  <c:v>40</c:v>
                </c:pt>
                <c:pt idx="28">
                  <c:v>65</c:v>
                </c:pt>
                <c:pt idx="29">
                  <c:v>-5</c:v>
                </c:pt>
                <c:pt idx="30">
                  <c:v>50</c:v>
                </c:pt>
                <c:pt idx="31">
                  <c:v>65</c:v>
                </c:pt>
                <c:pt idx="32">
                  <c:v>50</c:v>
                </c:pt>
                <c:pt idx="33">
                  <c:v>35</c:v>
                </c:pt>
                <c:pt idx="34">
                  <c:v>40</c:v>
                </c:pt>
                <c:pt idx="35">
                  <c:v>60</c:v>
                </c:pt>
                <c:pt idx="36">
                  <c:v>15</c:v>
                </c:pt>
                <c:pt idx="37">
                  <c:v>15</c:v>
                </c:pt>
                <c:pt idx="38">
                  <c:v>20</c:v>
                </c:pt>
                <c:pt idx="3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5-4AA7-A8E3-7E3C0F279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4 </a:t>
            </a:r>
            <a:r>
              <a:rPr lang="en-US" sz="1600" b="0" i="1" u="none" strike="noStrike" baseline="0">
                <a:effectLst/>
              </a:rPr>
              <a:t>I&amp;T-Related Issues</a:t>
            </a:r>
          </a:p>
          <a:p>
            <a:pPr>
              <a:defRPr sz="1600"/>
            </a:pPr>
            <a:r>
              <a:rPr lang="en-US" sz="1600"/>
              <a:t>Resulting Governance/Management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'DF4'!$A$31:$A$70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'DF4'!$D$31:$D$70</c:f>
              <c:numCache>
                <c:formatCode>0_ ;[Red]\-0\ </c:formatCode>
                <c:ptCount val="40"/>
                <c:pt idx="0">
                  <c:v>0</c:v>
                </c:pt>
                <c:pt idx="1">
                  <c:v>-5</c:v>
                </c:pt>
                <c:pt idx="2">
                  <c:v>5</c:v>
                </c:pt>
                <c:pt idx="3">
                  <c:v>-5</c:v>
                </c:pt>
                <c:pt idx="4">
                  <c:v>-5</c:v>
                </c:pt>
                <c:pt idx="5">
                  <c:v>0</c:v>
                </c:pt>
                <c:pt idx="6">
                  <c:v>-5</c:v>
                </c:pt>
                <c:pt idx="7">
                  <c:v>5</c:v>
                </c:pt>
                <c:pt idx="8">
                  <c:v>-10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10</c:v>
                </c:pt>
                <c:pt idx="18">
                  <c:v>10</c:v>
                </c:pt>
                <c:pt idx="19">
                  <c:v>5</c:v>
                </c:pt>
                <c:pt idx="20">
                  <c:v>-5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15</c:v>
                </c:pt>
                <c:pt idx="29">
                  <c:v>10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20</c:v>
                </c:pt>
                <c:pt idx="34">
                  <c:v>20</c:v>
                </c:pt>
                <c:pt idx="35">
                  <c:v>5</c:v>
                </c:pt>
                <c:pt idx="36">
                  <c:v>0</c:v>
                </c:pt>
                <c:pt idx="37">
                  <c:v>0</c:v>
                </c:pt>
                <c:pt idx="38">
                  <c:v>15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1-481E-BABB-767F2AF6C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Initial Summary</a:t>
            </a:r>
            <a:r>
              <a:rPr lang="en-US" sz="1800" b="0" i="0" u="none" strike="noStrike" baseline="0">
                <a:effectLst/>
              </a:rPr>
              <a:t>—</a:t>
            </a:r>
            <a:r>
              <a:rPr lang="en-US" sz="1800"/>
              <a:t>Governance and Management Objectives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50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Canvas!$A$6:$A$45</c:f>
              <c:strCache>
                <c:ptCount val="40"/>
                <c:pt idx="0">
                  <c:v>EDM01—Ensured  Governance Framework Setting &amp; Maintenance</c:v>
                </c:pt>
                <c:pt idx="1">
                  <c:v>EDM02—Ensured Benefits Delivery</c:v>
                </c:pt>
                <c:pt idx="2">
                  <c:v>EDM03—Ensured Risk Optimization</c:v>
                </c:pt>
                <c:pt idx="3">
                  <c:v>EDM04—Ensured Resource Optimization</c:v>
                </c:pt>
                <c:pt idx="4">
                  <c:v>EDM05—Ensured Stakeholder Engagement</c:v>
                </c:pt>
                <c:pt idx="5">
                  <c:v>APO01—Managed I&amp;T Management Framework</c:v>
                </c:pt>
                <c:pt idx="6">
                  <c:v>APO02—Managed Strategy</c:v>
                </c:pt>
                <c:pt idx="7">
                  <c:v>APO03—Managed Enterprise Architecture</c:v>
                </c:pt>
                <c:pt idx="8">
                  <c:v>APO04—Managed Innovation</c:v>
                </c:pt>
                <c:pt idx="9">
                  <c:v>APO05—Managed Portfolio</c:v>
                </c:pt>
                <c:pt idx="10">
                  <c:v>APO06—Managed Budget &amp; Costs</c:v>
                </c:pt>
                <c:pt idx="11">
                  <c:v>APO07—Managed Human Resources</c:v>
                </c:pt>
                <c:pt idx="12">
                  <c:v>APO08—Managed Relationships</c:v>
                </c:pt>
                <c:pt idx="13">
                  <c:v>APO09—Managed Service Agreements</c:v>
                </c:pt>
                <c:pt idx="14">
                  <c:v>APO10—Managed Vendors</c:v>
                </c:pt>
                <c:pt idx="15">
                  <c:v>APO11—Managed Quality</c:v>
                </c:pt>
                <c:pt idx="16">
                  <c:v>APO12—Managed Risk</c:v>
                </c:pt>
                <c:pt idx="17">
                  <c:v>APO13—Managed Security</c:v>
                </c:pt>
                <c:pt idx="18">
                  <c:v>APO14—Managed Data</c:v>
                </c:pt>
                <c:pt idx="19">
                  <c:v>BAI01—Managed Programs</c:v>
                </c:pt>
                <c:pt idx="20">
                  <c:v>BAI02—Managed Requirements Definition</c:v>
                </c:pt>
                <c:pt idx="21">
                  <c:v>BAI03—Managed Solutions Identification &amp; Build</c:v>
                </c:pt>
                <c:pt idx="22">
                  <c:v>BAI04—Managed Availability &amp; Capacity</c:v>
                </c:pt>
                <c:pt idx="23">
                  <c:v>BAI05—Managed Organizational Change</c:v>
                </c:pt>
                <c:pt idx="24">
                  <c:v>BAI06—Managed IT Changes</c:v>
                </c:pt>
                <c:pt idx="25">
                  <c:v>BAI07—Managed IT Change Acceptance and Transitioning</c:v>
                </c:pt>
                <c:pt idx="26">
                  <c:v>BAI08—Managed Knowledge</c:v>
                </c:pt>
                <c:pt idx="27">
                  <c:v>BAI09—Managed Assets</c:v>
                </c:pt>
                <c:pt idx="28">
                  <c:v>BAI10—Managed Configuration</c:v>
                </c:pt>
                <c:pt idx="29">
                  <c:v>BAI11—Managed Projects</c:v>
                </c:pt>
                <c:pt idx="30">
                  <c:v>DSS01—Managed Operations</c:v>
                </c:pt>
                <c:pt idx="31">
                  <c:v>DSS02—Managed Service Requests &amp; Incidents</c:v>
                </c:pt>
                <c:pt idx="32">
                  <c:v>DSS03—Managed Problems</c:v>
                </c:pt>
                <c:pt idx="33">
                  <c:v>DSS04—Managed Continuity</c:v>
                </c:pt>
                <c:pt idx="34">
                  <c:v>DSS05—Managed Security Services</c:v>
                </c:pt>
                <c:pt idx="35">
                  <c:v>DSS06—Managed Business Process Controls</c:v>
                </c:pt>
                <c:pt idx="36">
                  <c:v>MEA01—Managed Performance and Conformance Monitoring</c:v>
                </c:pt>
                <c:pt idx="37">
                  <c:v>MEA02—Managed System of Internal Control</c:v>
                </c:pt>
                <c:pt idx="38">
                  <c:v>MEA03—Managed Compliance with External Requirements</c:v>
                </c:pt>
                <c:pt idx="39">
                  <c:v>MEA04—Managed Assurance</c:v>
                </c:pt>
              </c:strCache>
            </c:strRef>
          </c:cat>
          <c:val>
            <c:numRef>
              <c:f>Canvas!$G$6:$G$45</c:f>
              <c:numCache>
                <c:formatCode>0</c:formatCode>
                <c:ptCount val="40"/>
                <c:pt idx="0">
                  <c:v>-20</c:v>
                </c:pt>
                <c:pt idx="1">
                  <c:v>-5</c:v>
                </c:pt>
                <c:pt idx="2">
                  <c:v>45</c:v>
                </c:pt>
                <c:pt idx="3">
                  <c:v>-45</c:v>
                </c:pt>
                <c:pt idx="4">
                  <c:v>-5</c:v>
                </c:pt>
                <c:pt idx="5">
                  <c:v>5</c:v>
                </c:pt>
                <c:pt idx="6">
                  <c:v>-55</c:v>
                </c:pt>
                <c:pt idx="7">
                  <c:v>-10</c:v>
                </c:pt>
                <c:pt idx="8">
                  <c:v>-75</c:v>
                </c:pt>
                <c:pt idx="9">
                  <c:v>-50</c:v>
                </c:pt>
                <c:pt idx="10">
                  <c:v>-45</c:v>
                </c:pt>
                <c:pt idx="11">
                  <c:v>-20</c:v>
                </c:pt>
                <c:pt idx="12">
                  <c:v>10</c:v>
                </c:pt>
                <c:pt idx="13">
                  <c:v>10</c:v>
                </c:pt>
                <c:pt idx="14">
                  <c:v>-25</c:v>
                </c:pt>
                <c:pt idx="15">
                  <c:v>45</c:v>
                </c:pt>
                <c:pt idx="16">
                  <c:v>85</c:v>
                </c:pt>
                <c:pt idx="17">
                  <c:v>100</c:v>
                </c:pt>
                <c:pt idx="18">
                  <c:v>40</c:v>
                </c:pt>
                <c:pt idx="19">
                  <c:v>-35</c:v>
                </c:pt>
                <c:pt idx="20">
                  <c:v>-10</c:v>
                </c:pt>
                <c:pt idx="21">
                  <c:v>5</c:v>
                </c:pt>
                <c:pt idx="22">
                  <c:v>0</c:v>
                </c:pt>
                <c:pt idx="23">
                  <c:v>-30</c:v>
                </c:pt>
                <c:pt idx="24">
                  <c:v>50</c:v>
                </c:pt>
                <c:pt idx="25">
                  <c:v>25</c:v>
                </c:pt>
                <c:pt idx="26">
                  <c:v>0</c:v>
                </c:pt>
                <c:pt idx="27">
                  <c:v>60</c:v>
                </c:pt>
                <c:pt idx="28">
                  <c:v>60</c:v>
                </c:pt>
                <c:pt idx="29">
                  <c:v>-35</c:v>
                </c:pt>
                <c:pt idx="30">
                  <c:v>40</c:v>
                </c:pt>
                <c:pt idx="31">
                  <c:v>95</c:v>
                </c:pt>
                <c:pt idx="32">
                  <c:v>70</c:v>
                </c:pt>
                <c:pt idx="33">
                  <c:v>80</c:v>
                </c:pt>
                <c:pt idx="34">
                  <c:v>90</c:v>
                </c:pt>
                <c:pt idx="35">
                  <c:v>60</c:v>
                </c:pt>
                <c:pt idx="36">
                  <c:v>10</c:v>
                </c:pt>
                <c:pt idx="37">
                  <c:v>20</c:v>
                </c:pt>
                <c:pt idx="38">
                  <c:v>55</c:v>
                </c:pt>
                <c:pt idx="3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7-423E-BFDD-DEE3B2BB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714711592"/>
        <c:axId val="714717496"/>
      </c:barChart>
      <c:catAx>
        <c:axId val="714711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17496"/>
        <c:crosses val="autoZero"/>
        <c:auto val="1"/>
        <c:lblAlgn val="ctr"/>
        <c:lblOffset val="100"/>
        <c:noMultiLvlLbl val="0"/>
      </c:catAx>
      <c:valAx>
        <c:axId val="714717496"/>
        <c:scaling>
          <c:orientation val="minMax"/>
          <c:min val="-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1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5 </a:t>
            </a:r>
            <a:r>
              <a:rPr lang="en-US" sz="1600" b="0" i="1" u="none" strike="noStrike" baseline="0">
                <a:effectLst/>
              </a:rPr>
              <a:t>Threat Landscape</a:t>
            </a:r>
          </a:p>
          <a:p>
            <a:pPr>
              <a:defRPr sz="1600"/>
            </a:pPr>
            <a:r>
              <a:rPr lang="en-US" sz="1600"/>
              <a:t>Resulting Governance/Management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'DF5'!$A$30:$A$69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'DF5'!$D$30:$D$69</c:f>
              <c:numCache>
                <c:formatCode>0_ ;[Red]\-0\ </c:formatCode>
                <c:ptCount val="40"/>
                <c:pt idx="0">
                  <c:v>-30</c:v>
                </c:pt>
                <c:pt idx="1">
                  <c:v>0</c:v>
                </c:pt>
                <c:pt idx="2">
                  <c:v>-35</c:v>
                </c:pt>
                <c:pt idx="3">
                  <c:v>0</c:v>
                </c:pt>
                <c:pt idx="4">
                  <c:v>-15</c:v>
                </c:pt>
                <c:pt idx="5">
                  <c:v>-30</c:v>
                </c:pt>
                <c:pt idx="6">
                  <c:v>0</c:v>
                </c:pt>
                <c:pt idx="7">
                  <c:v>-30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-15</c:v>
                </c:pt>
                <c:pt idx="12">
                  <c:v>0</c:v>
                </c:pt>
                <c:pt idx="13">
                  <c:v>-15</c:v>
                </c:pt>
                <c:pt idx="14">
                  <c:v>-30</c:v>
                </c:pt>
                <c:pt idx="15">
                  <c:v>-15</c:v>
                </c:pt>
                <c:pt idx="16">
                  <c:v>-35</c:v>
                </c:pt>
                <c:pt idx="17">
                  <c:v>-35</c:v>
                </c:pt>
                <c:pt idx="18">
                  <c:v>-30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-15</c:v>
                </c:pt>
                <c:pt idx="23">
                  <c:v>0</c:v>
                </c:pt>
                <c:pt idx="24">
                  <c:v>-30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-30</c:v>
                </c:pt>
                <c:pt idx="29">
                  <c:v>0</c:v>
                </c:pt>
                <c:pt idx="30">
                  <c:v>0</c:v>
                </c:pt>
                <c:pt idx="31">
                  <c:v>-30</c:v>
                </c:pt>
                <c:pt idx="32">
                  <c:v>-15</c:v>
                </c:pt>
                <c:pt idx="33">
                  <c:v>-35</c:v>
                </c:pt>
                <c:pt idx="34">
                  <c:v>-30</c:v>
                </c:pt>
                <c:pt idx="35">
                  <c:v>-30</c:v>
                </c:pt>
                <c:pt idx="36">
                  <c:v>-30</c:v>
                </c:pt>
                <c:pt idx="37">
                  <c:v>-15</c:v>
                </c:pt>
                <c:pt idx="38">
                  <c:v>-30</c:v>
                </c:pt>
                <c:pt idx="39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C-4C95-931B-8C3FAB41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6 </a:t>
            </a:r>
            <a:r>
              <a:rPr lang="en-US" sz="1600" b="0" i="1" u="none" strike="noStrike" baseline="0">
                <a:effectLst/>
              </a:rPr>
              <a:t>Compliance Requirements</a:t>
            </a:r>
          </a:p>
          <a:p>
            <a:pPr>
              <a:defRPr sz="1600"/>
            </a:pPr>
            <a:r>
              <a:rPr lang="en-US" sz="1600"/>
              <a:t>Resulting Governance/Management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'DF6'!$A$30:$A$69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'DF6'!$D$30:$D$69</c:f>
              <c:numCache>
                <c:formatCode>0_ ;[Red]\-0\ </c:formatCode>
                <c:ptCount val="40"/>
                <c:pt idx="0">
                  <c:v>40</c:v>
                </c:pt>
                <c:pt idx="1">
                  <c:v>0</c:v>
                </c:pt>
                <c:pt idx="2">
                  <c:v>80</c:v>
                </c:pt>
                <c:pt idx="3">
                  <c:v>0</c:v>
                </c:pt>
                <c:pt idx="4">
                  <c:v>40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</c:v>
                </c:pt>
                <c:pt idx="15">
                  <c:v>0</c:v>
                </c:pt>
                <c:pt idx="16">
                  <c:v>80</c:v>
                </c:pt>
                <c:pt idx="17">
                  <c:v>40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40</c:v>
                </c:pt>
                <c:pt idx="34">
                  <c:v>80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B-4592-ABC3-69ADCE80F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7 </a:t>
            </a:r>
            <a:r>
              <a:rPr lang="en-US" sz="1600" b="0" i="1" u="none" strike="noStrike" baseline="0">
                <a:effectLst/>
              </a:rPr>
              <a:t>Role of IT</a:t>
            </a:r>
          </a:p>
          <a:p>
            <a:pPr>
              <a:defRPr sz="1600"/>
            </a:pPr>
            <a:r>
              <a:rPr lang="en-US" sz="1600"/>
              <a:t>Resulting Governance/Management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'DF7'!$A$32:$A$71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'DF7'!$D$32:$D$71</c:f>
              <c:numCache>
                <c:formatCode>0_ ;[Red]\-0\ </c:formatCode>
                <c:ptCount val="40"/>
                <c:pt idx="0">
                  <c:v>-25</c:v>
                </c:pt>
                <c:pt idx="1">
                  <c:v>-25</c:v>
                </c:pt>
                <c:pt idx="2">
                  <c:v>-25</c:v>
                </c:pt>
                <c:pt idx="3">
                  <c:v>-10</c:v>
                </c:pt>
                <c:pt idx="4">
                  <c:v>-10</c:v>
                </c:pt>
                <c:pt idx="5">
                  <c:v>-20</c:v>
                </c:pt>
                <c:pt idx="6">
                  <c:v>-25</c:v>
                </c:pt>
                <c:pt idx="7">
                  <c:v>-15</c:v>
                </c:pt>
                <c:pt idx="8">
                  <c:v>-40</c:v>
                </c:pt>
                <c:pt idx="9">
                  <c:v>-25</c:v>
                </c:pt>
                <c:pt idx="10">
                  <c:v>-10</c:v>
                </c:pt>
                <c:pt idx="11">
                  <c:v>-5</c:v>
                </c:pt>
                <c:pt idx="12">
                  <c:v>-20</c:v>
                </c:pt>
                <c:pt idx="13">
                  <c:v>-20</c:v>
                </c:pt>
                <c:pt idx="14">
                  <c:v>-20</c:v>
                </c:pt>
                <c:pt idx="15">
                  <c:v>-15</c:v>
                </c:pt>
                <c:pt idx="16">
                  <c:v>-25</c:v>
                </c:pt>
                <c:pt idx="17">
                  <c:v>-25</c:v>
                </c:pt>
                <c:pt idx="18">
                  <c:v>-20</c:v>
                </c:pt>
                <c:pt idx="19">
                  <c:v>-20</c:v>
                </c:pt>
                <c:pt idx="20">
                  <c:v>-25</c:v>
                </c:pt>
                <c:pt idx="21">
                  <c:v>-25</c:v>
                </c:pt>
                <c:pt idx="22">
                  <c:v>-20</c:v>
                </c:pt>
                <c:pt idx="23">
                  <c:v>-10</c:v>
                </c:pt>
                <c:pt idx="24">
                  <c:v>-20</c:v>
                </c:pt>
                <c:pt idx="25">
                  <c:v>-15</c:v>
                </c:pt>
                <c:pt idx="26">
                  <c:v>-10</c:v>
                </c:pt>
                <c:pt idx="27">
                  <c:v>-10</c:v>
                </c:pt>
                <c:pt idx="28">
                  <c:v>-15</c:v>
                </c:pt>
                <c:pt idx="29">
                  <c:v>-15</c:v>
                </c:pt>
                <c:pt idx="30">
                  <c:v>-25</c:v>
                </c:pt>
                <c:pt idx="31">
                  <c:v>-25</c:v>
                </c:pt>
                <c:pt idx="32">
                  <c:v>-30</c:v>
                </c:pt>
                <c:pt idx="33">
                  <c:v>-30</c:v>
                </c:pt>
                <c:pt idx="34">
                  <c:v>-15</c:v>
                </c:pt>
                <c:pt idx="35">
                  <c:v>-15</c:v>
                </c:pt>
                <c:pt idx="36">
                  <c:v>-10</c:v>
                </c:pt>
                <c:pt idx="37">
                  <c:v>-10</c:v>
                </c:pt>
                <c:pt idx="38">
                  <c:v>-5</c:v>
                </c:pt>
                <c:pt idx="39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E-4BEF-9B1C-ECECED50A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8 </a:t>
            </a:r>
            <a:r>
              <a:rPr lang="en-US" sz="1600" b="0" i="1" u="none" strike="noStrike" baseline="0">
                <a:effectLst/>
              </a:rPr>
              <a:t>Sourcing Model for IT</a:t>
            </a:r>
          </a:p>
          <a:p>
            <a:pPr>
              <a:defRPr sz="1600"/>
            </a:pPr>
            <a:r>
              <a:rPr lang="en-US" sz="1600"/>
              <a:t>Resulting Governance/Management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'DF8'!$A$32:$A$71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'DF8'!$D$32:$D$71</c:f>
              <c:numCache>
                <c:formatCode>0_ ;[Red]\-0\ 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-15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-35</c:v>
                </c:pt>
                <c:pt idx="14">
                  <c:v>-35</c:v>
                </c:pt>
                <c:pt idx="15">
                  <c:v>0</c:v>
                </c:pt>
                <c:pt idx="16">
                  <c:v>-20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-30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6-4705-BCDC-50DD504C1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Governance and Management Objectives Importance (All Design Factors)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50000"/>
                <a:alpha val="5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Canvas!$A$6:$A$45</c:f>
              <c:strCache>
                <c:ptCount val="40"/>
                <c:pt idx="0">
                  <c:v>EDM01—Ensured  Governance Framework Setting &amp; Maintenance</c:v>
                </c:pt>
                <c:pt idx="1">
                  <c:v>EDM02—Ensured Benefits Delivery</c:v>
                </c:pt>
                <c:pt idx="2">
                  <c:v>EDM03—Ensured Risk Optimization</c:v>
                </c:pt>
                <c:pt idx="3">
                  <c:v>EDM04—Ensured Resource Optimization</c:v>
                </c:pt>
                <c:pt idx="4">
                  <c:v>EDM05—Ensured Stakeholder Engagement</c:v>
                </c:pt>
                <c:pt idx="5">
                  <c:v>APO01—Managed I&amp;T Management Framework</c:v>
                </c:pt>
                <c:pt idx="6">
                  <c:v>APO02—Managed Strategy</c:v>
                </c:pt>
                <c:pt idx="7">
                  <c:v>APO03—Managed Enterprise Architecture</c:v>
                </c:pt>
                <c:pt idx="8">
                  <c:v>APO04—Managed Innovation</c:v>
                </c:pt>
                <c:pt idx="9">
                  <c:v>APO05—Managed Portfolio</c:v>
                </c:pt>
                <c:pt idx="10">
                  <c:v>APO06—Managed Budget &amp; Costs</c:v>
                </c:pt>
                <c:pt idx="11">
                  <c:v>APO07—Managed Human Resources</c:v>
                </c:pt>
                <c:pt idx="12">
                  <c:v>APO08—Managed Relationships</c:v>
                </c:pt>
                <c:pt idx="13">
                  <c:v>APO09—Managed Service Agreements</c:v>
                </c:pt>
                <c:pt idx="14">
                  <c:v>APO10—Managed Vendors</c:v>
                </c:pt>
                <c:pt idx="15">
                  <c:v>APO11—Managed Quality</c:v>
                </c:pt>
                <c:pt idx="16">
                  <c:v>APO12—Managed Risk</c:v>
                </c:pt>
                <c:pt idx="17">
                  <c:v>APO13—Managed Security</c:v>
                </c:pt>
                <c:pt idx="18">
                  <c:v>APO14—Managed Data</c:v>
                </c:pt>
                <c:pt idx="19">
                  <c:v>BAI01—Managed Programs</c:v>
                </c:pt>
                <c:pt idx="20">
                  <c:v>BAI02—Managed Requirements Definition</c:v>
                </c:pt>
                <c:pt idx="21">
                  <c:v>BAI03—Managed Solutions Identification &amp; Build</c:v>
                </c:pt>
                <c:pt idx="22">
                  <c:v>BAI04—Managed Availability &amp; Capacity</c:v>
                </c:pt>
                <c:pt idx="23">
                  <c:v>BAI05—Managed Organizational Change</c:v>
                </c:pt>
                <c:pt idx="24">
                  <c:v>BAI06—Managed IT Changes</c:v>
                </c:pt>
                <c:pt idx="25">
                  <c:v>BAI07—Managed IT Change Acceptance and Transitioning</c:v>
                </c:pt>
                <c:pt idx="26">
                  <c:v>BAI08—Managed Knowledge</c:v>
                </c:pt>
                <c:pt idx="27">
                  <c:v>BAI09—Managed Assets</c:v>
                </c:pt>
                <c:pt idx="28">
                  <c:v>BAI10—Managed Configuration</c:v>
                </c:pt>
                <c:pt idx="29">
                  <c:v>BAI11—Managed Projects</c:v>
                </c:pt>
                <c:pt idx="30">
                  <c:v>DSS01—Managed Operations</c:v>
                </c:pt>
                <c:pt idx="31">
                  <c:v>DSS02—Managed Service Requests &amp; Incidents</c:v>
                </c:pt>
                <c:pt idx="32">
                  <c:v>DSS03—Managed Problems</c:v>
                </c:pt>
                <c:pt idx="33">
                  <c:v>DSS04—Managed Continuity</c:v>
                </c:pt>
                <c:pt idx="34">
                  <c:v>DSS05—Managed Security Services</c:v>
                </c:pt>
                <c:pt idx="35">
                  <c:v>DSS06—Managed Business Process Controls</c:v>
                </c:pt>
                <c:pt idx="36">
                  <c:v>MEA01—Managed Performance and Conformance Monitoring</c:v>
                </c:pt>
                <c:pt idx="37">
                  <c:v>MEA02—Managed System of Internal Control</c:v>
                </c:pt>
                <c:pt idx="38">
                  <c:v>MEA03—Managed Compliance with External Requirements</c:v>
                </c:pt>
                <c:pt idx="39">
                  <c:v>MEA04—Managed Assurance</c:v>
                </c:pt>
              </c:strCache>
            </c:strRef>
          </c:cat>
          <c:val>
            <c:numRef>
              <c:f>Canvas!$Q$6:$Q$45</c:f>
              <c:numCache>
                <c:formatCode>General</c:formatCode>
                <c:ptCount val="40"/>
                <c:pt idx="0">
                  <c:v>-30</c:v>
                </c:pt>
                <c:pt idx="1">
                  <c:v>-25</c:v>
                </c:pt>
                <c:pt idx="2">
                  <c:v>40</c:v>
                </c:pt>
                <c:pt idx="3">
                  <c:v>-45</c:v>
                </c:pt>
                <c:pt idx="4">
                  <c:v>10</c:v>
                </c:pt>
                <c:pt idx="5">
                  <c:v>-15</c:v>
                </c:pt>
                <c:pt idx="6">
                  <c:v>-65</c:v>
                </c:pt>
                <c:pt idx="7">
                  <c:v>-50</c:v>
                </c:pt>
                <c:pt idx="8">
                  <c:v>-90</c:v>
                </c:pt>
                <c:pt idx="9">
                  <c:v>-60</c:v>
                </c:pt>
                <c:pt idx="10">
                  <c:v>-40</c:v>
                </c:pt>
                <c:pt idx="11">
                  <c:v>-35</c:v>
                </c:pt>
                <c:pt idx="12">
                  <c:v>-10</c:v>
                </c:pt>
                <c:pt idx="13">
                  <c:v>-50</c:v>
                </c:pt>
                <c:pt idx="14">
                  <c:v>-55</c:v>
                </c:pt>
                <c:pt idx="15">
                  <c:v>10</c:v>
                </c:pt>
                <c:pt idx="16">
                  <c:v>70</c:v>
                </c:pt>
                <c:pt idx="17">
                  <c:v>65</c:v>
                </c:pt>
                <c:pt idx="18">
                  <c:v>10</c:v>
                </c:pt>
                <c:pt idx="19">
                  <c:v>-20</c:v>
                </c:pt>
                <c:pt idx="20">
                  <c:v>20</c:v>
                </c:pt>
                <c:pt idx="21">
                  <c:v>35</c:v>
                </c:pt>
                <c:pt idx="22">
                  <c:v>-30</c:v>
                </c:pt>
                <c:pt idx="23">
                  <c:v>0</c:v>
                </c:pt>
                <c:pt idx="24">
                  <c:v>50</c:v>
                </c:pt>
                <c:pt idx="25">
                  <c:v>40</c:v>
                </c:pt>
                <c:pt idx="26">
                  <c:v>-10</c:v>
                </c:pt>
                <c:pt idx="27">
                  <c:v>40</c:v>
                </c:pt>
                <c:pt idx="28">
                  <c:v>25</c:v>
                </c:pt>
                <c:pt idx="29">
                  <c:v>-5</c:v>
                </c:pt>
                <c:pt idx="30">
                  <c:v>10</c:v>
                </c:pt>
                <c:pt idx="31">
                  <c:v>30</c:v>
                </c:pt>
                <c:pt idx="32">
                  <c:v>20</c:v>
                </c:pt>
                <c:pt idx="33">
                  <c:v>45</c:v>
                </c:pt>
                <c:pt idx="34">
                  <c:v>100</c:v>
                </c:pt>
                <c:pt idx="35">
                  <c:v>10</c:v>
                </c:pt>
                <c:pt idx="36">
                  <c:v>-35</c:v>
                </c:pt>
                <c:pt idx="37">
                  <c:v>-5</c:v>
                </c:pt>
                <c:pt idx="38">
                  <c:v>80</c:v>
                </c:pt>
                <c:pt idx="3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D-4BB9-858D-F4E542FD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62730312"/>
        <c:axId val="662725064"/>
      </c:barChart>
      <c:catAx>
        <c:axId val="6627303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25064"/>
        <c:crosses val="autoZero"/>
        <c:auto val="1"/>
        <c:lblAlgn val="ctr"/>
        <c:lblOffset val="100"/>
        <c:noMultiLvlLbl val="0"/>
      </c:catAx>
      <c:valAx>
        <c:axId val="662725064"/>
        <c:scaling>
          <c:orientation val="minMax"/>
          <c:max val="100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62730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9 </a:t>
            </a:r>
            <a:r>
              <a:rPr lang="en-US" sz="1600" b="0" i="1" u="none" strike="noStrike" baseline="0">
                <a:effectLst/>
              </a:rPr>
              <a:t>IT Implementation Methods</a:t>
            </a:r>
          </a:p>
          <a:p>
            <a:pPr>
              <a:defRPr sz="1600"/>
            </a:pPr>
            <a:r>
              <a:rPr lang="en-US" sz="1600"/>
              <a:t>Resulting Governance/Management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'DF9'!$A$28:$A$67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'DF9'!$D$28:$D$67</c:f>
              <c:numCache>
                <c:formatCode>0_ ;[Red]\-0\ 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30</c:v>
                </c:pt>
                <c:pt idx="20">
                  <c:v>60</c:v>
                </c:pt>
                <c:pt idx="21">
                  <c:v>65</c:v>
                </c:pt>
                <c:pt idx="22">
                  <c:v>0</c:v>
                </c:pt>
                <c:pt idx="23">
                  <c:v>40</c:v>
                </c:pt>
                <c:pt idx="24">
                  <c:v>60</c:v>
                </c:pt>
                <c:pt idx="25">
                  <c:v>40</c:v>
                </c:pt>
                <c:pt idx="26">
                  <c:v>0</c:v>
                </c:pt>
                <c:pt idx="27">
                  <c:v>0</c:v>
                </c:pt>
                <c:pt idx="28">
                  <c:v>15</c:v>
                </c:pt>
                <c:pt idx="29">
                  <c:v>45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1-40C9-9300-BFECA4AA0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Design Factor 10 </a:t>
            </a:r>
            <a:r>
              <a:rPr lang="en-US" sz="1600" b="0" i="1" u="none" strike="noStrike" baseline="0">
                <a:effectLst/>
              </a:rPr>
              <a:t>Technology Adoption Strategy</a:t>
            </a:r>
          </a:p>
          <a:p>
            <a:pPr>
              <a:defRPr sz="1600"/>
            </a:pPr>
            <a:r>
              <a:rPr lang="en-US" sz="1600"/>
              <a:t>Resulting Governance/Management</a:t>
            </a:r>
          </a:p>
          <a:p>
            <a:pPr>
              <a:defRPr sz="1600"/>
            </a:pPr>
            <a:r>
              <a:rPr lang="en-US" sz="1600"/>
              <a:t>Objectives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'DF10'!$A$22:$A$61</c:f>
              <c:strCache>
                <c:ptCount val="40"/>
                <c:pt idx="0">
                  <c:v>EDM01</c:v>
                </c:pt>
                <c:pt idx="1">
                  <c:v>EDM02</c:v>
                </c:pt>
                <c:pt idx="2">
                  <c:v>EDM03</c:v>
                </c:pt>
                <c:pt idx="3">
                  <c:v>EDM04</c:v>
                </c:pt>
                <c:pt idx="4">
                  <c:v>EDM05</c:v>
                </c:pt>
                <c:pt idx="5">
                  <c:v>APO01</c:v>
                </c:pt>
                <c:pt idx="6">
                  <c:v>APO02</c:v>
                </c:pt>
                <c:pt idx="7">
                  <c:v>APO03</c:v>
                </c:pt>
                <c:pt idx="8">
                  <c:v>APO04</c:v>
                </c:pt>
                <c:pt idx="9">
                  <c:v>APO05</c:v>
                </c:pt>
                <c:pt idx="10">
                  <c:v>APO06</c:v>
                </c:pt>
                <c:pt idx="11">
                  <c:v>APO07</c:v>
                </c:pt>
                <c:pt idx="12">
                  <c:v>APO08</c:v>
                </c:pt>
                <c:pt idx="13">
                  <c:v>APO09</c:v>
                </c:pt>
                <c:pt idx="14">
                  <c:v>APO10</c:v>
                </c:pt>
                <c:pt idx="15">
                  <c:v>APO11</c:v>
                </c:pt>
                <c:pt idx="16">
                  <c:v>APO12</c:v>
                </c:pt>
                <c:pt idx="17">
                  <c:v>APO13</c:v>
                </c:pt>
                <c:pt idx="18">
                  <c:v>APO14</c:v>
                </c:pt>
                <c:pt idx="19">
                  <c:v>BAI01</c:v>
                </c:pt>
                <c:pt idx="20">
                  <c:v>BAI02</c:v>
                </c:pt>
                <c:pt idx="21">
                  <c:v>BAI03</c:v>
                </c:pt>
                <c:pt idx="22">
                  <c:v>BAI04</c:v>
                </c:pt>
                <c:pt idx="23">
                  <c:v>BAI05</c:v>
                </c:pt>
                <c:pt idx="24">
                  <c:v>BAI06</c:v>
                </c:pt>
                <c:pt idx="25">
                  <c:v>BAI07</c:v>
                </c:pt>
                <c:pt idx="26">
                  <c:v>BAI08</c:v>
                </c:pt>
                <c:pt idx="27">
                  <c:v>BAI09</c:v>
                </c:pt>
                <c:pt idx="28">
                  <c:v>BAI10</c:v>
                </c:pt>
                <c:pt idx="29">
                  <c:v>BAI11</c:v>
                </c:pt>
                <c:pt idx="30">
                  <c:v>DSS01</c:v>
                </c:pt>
                <c:pt idx="31">
                  <c:v>DSS02</c:v>
                </c:pt>
                <c:pt idx="32">
                  <c:v>DSS03</c:v>
                </c:pt>
                <c:pt idx="33">
                  <c:v>DSS04</c:v>
                </c:pt>
                <c:pt idx="34">
                  <c:v>DSS05</c:v>
                </c:pt>
                <c:pt idx="35">
                  <c:v>DSS06</c:v>
                </c:pt>
                <c:pt idx="36">
                  <c:v>MEA01</c:v>
                </c:pt>
                <c:pt idx="37">
                  <c:v>MEA02</c:v>
                </c:pt>
                <c:pt idx="38">
                  <c:v>MEA03</c:v>
                </c:pt>
                <c:pt idx="39">
                  <c:v>MEA04</c:v>
                </c:pt>
              </c:strCache>
            </c:strRef>
          </c:cat>
          <c:val>
            <c:numRef>
              <c:f>'DF10'!$D$22:$D$61</c:f>
              <c:numCache>
                <c:formatCode>0_ ;[Red]\-0\ 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-5</c:v>
                </c:pt>
                <c:pt idx="12">
                  <c:v>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2-41CB-BB62-6F0C1509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52776"/>
        <c:axId val="478953432"/>
      </c:radarChart>
      <c:catAx>
        <c:axId val="4789527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3432"/>
        <c:crosses val="autoZero"/>
        <c:auto val="1"/>
        <c:lblAlgn val="ctr"/>
        <c:lblOffset val="100"/>
        <c:noMultiLvlLbl val="0"/>
      </c:catAx>
      <c:valAx>
        <c:axId val="47895343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5277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2E9E7A-942F-410D-AA82-CBBB8D01245A}">
  <sheetPr>
    <tabColor theme="2" tint="-0.499984740745262"/>
  </sheetPr>
  <sheetViews>
    <sheetView zoomScale="102" workbookViewId="0"/>
  </sheetViews>
  <sheetProtection algorithmName="SHA-512" hashValue="YZ9SgjOcb/sGc8goTauyLhDcb22D7D2EBnzaWjFCA6CWWATktVWbGVwHm+ykFU12admVs2wZVgrF8pxCxfZvIQ==" saltValue="U9/UGH4+MfcPqIZotWKKVg==" spinCount="100000" content="1" objects="1"/>
  <pageMargins left="0.7" right="0.7" top="0.75" bottom="0.75" header="0.3" footer="0.3"/>
  <pageSetup paperSize="9" orientation="portrait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300864-6834-4C19-B0BD-E28FC1951D74}">
  <sheetPr>
    <tabColor theme="2" tint="-0.249977111117893"/>
  </sheetPr>
  <sheetViews>
    <sheetView zoomScale="130" workbookViewId="0"/>
  </sheetViews>
  <sheetProtection algorithmName="SHA-512" hashValue="Mco6wXA6UKQc2Kt2g3wdzdANuQevizfFgagU0XslfHsJ4jXFaezkd5WD1PvdFJf5X2F8SC4tAaiQJMmYfi0ZJQ==" saltValue="iw2gh8CXWOXQmo0daOdeqw==" spinCount="100000" content="1" objects="1"/>
  <pageMargins left="0.7" right="0.7" top="0.75" bottom="0.75" header="0.3" footer="0.3"/>
  <pageSetup paperSize="9" orientation="portrait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image" Target="../media/image1.emf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4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14288</xdr:rowOff>
    </xdr:from>
    <xdr:to>
      <xdr:col>1</xdr:col>
      <xdr:colOff>606425</xdr:colOff>
      <xdr:row>1</xdr:row>
      <xdr:rowOff>45283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1BF7B-DB04-432C-A631-B95CF5FF3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8"/>
          <a:ext cx="1165225" cy="2909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1760858</xdr:colOff>
      <xdr:row>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71F1A-BA51-4463-AE3B-FEC27CE38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60858" cy="444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40827</xdr:colOff>
      <xdr:row>10</xdr:row>
      <xdr:rowOff>79169</xdr:rowOff>
    </xdr:from>
    <xdr:to>
      <xdr:col>8</xdr:col>
      <xdr:colOff>97117</xdr:colOff>
      <xdr:row>15</xdr:row>
      <xdr:rowOff>635000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5A6CE-D4F9-4B7B-B208-9863BC105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115022</xdr:colOff>
      <xdr:row>19</xdr:row>
      <xdr:rowOff>9620</xdr:rowOff>
    </xdr:from>
    <xdr:to>
      <xdr:col>8</xdr:col>
      <xdr:colOff>1236927</xdr:colOff>
      <xdr:row>60</xdr:row>
      <xdr:rowOff>185207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A3188-7650-46B3-9A11-409EB7C89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9</xdr:col>
      <xdr:colOff>89727</xdr:colOff>
      <xdr:row>19</xdr:row>
      <xdr:rowOff>33072</xdr:rowOff>
    </xdr:from>
    <xdr:to>
      <xdr:col>18</xdr:col>
      <xdr:colOff>529167</xdr:colOff>
      <xdr:row>49</xdr:row>
      <xdr:rowOff>154215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CEA6AB-E7EF-43F3-A8C3-5D2EC9793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9</xdr:col>
      <xdr:colOff>116056</xdr:colOff>
      <xdr:row>4</xdr:row>
      <xdr:rowOff>4811</xdr:rowOff>
    </xdr:from>
    <xdr:to>
      <xdr:col>18</xdr:col>
      <xdr:colOff>411013</xdr:colOff>
      <xdr:row>15</xdr:row>
      <xdr:rowOff>589643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34011-5944-4000-9B6A-20F98DD55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424890</xdr:colOff>
      <xdr:row>1</xdr:row>
      <xdr:rowOff>6232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6D7A4C-7B96-4655-8B8F-C4A4B1492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820956" cy="459136"/>
        </a:xfrm>
        <a:prstGeom prst="rect">
          <a:avLst/>
        </a:prstGeom>
      </xdr:spPr>
    </xdr:pic>
    <xdr:clientData/>
  </xdr:twoCellAnchor>
  <xdr:oneCellAnchor>
    <xdr:from>
      <xdr:col>9</xdr:col>
      <xdr:colOff>4360</xdr:colOff>
      <xdr:row>0</xdr:row>
      <xdr:rowOff>0</xdr:rowOff>
    </xdr:from>
    <xdr:ext cx="1762431" cy="443566"/>
    <xdr:pic>
      <xdr:nvPicPr>
        <xdr:cNvPr id="9" name="Picture 8">
          <a:extLst>
            <a:ext uri="{FF2B5EF4-FFF2-40B4-BE49-F238E27FC236}">
              <a16:creationId xmlns:a16="http://schemas.microsoft.com/office/drawing/2014/main" id="{133BB9A4-F74E-4F6E-89B2-D50B768D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79250" y="0"/>
          <a:ext cx="1762431" cy="44356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92604</xdr:colOff>
      <xdr:row>18</xdr:row>
      <xdr:rowOff>158750</xdr:rowOff>
    </xdr:from>
    <xdr:to>
      <xdr:col>6</xdr:col>
      <xdr:colOff>701146</xdr:colOff>
      <xdr:row>24</xdr:row>
      <xdr:rowOff>2143124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76AC1-2015-494D-9C5A-88A645BB5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106625</xdr:colOff>
      <xdr:row>28</xdr:row>
      <xdr:rowOff>73819</xdr:rowOff>
    </xdr:from>
    <xdr:to>
      <xdr:col>6</xdr:col>
      <xdr:colOff>1210468</xdr:colOff>
      <xdr:row>67</xdr:row>
      <xdr:rowOff>151871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A57E74-6393-4203-8335-82A82C6A6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8</xdr:col>
      <xdr:colOff>198437</xdr:colOff>
      <xdr:row>28</xdr:row>
      <xdr:rowOff>132292</xdr:rowOff>
    </xdr:from>
    <xdr:to>
      <xdr:col>18</xdr:col>
      <xdr:colOff>5821</xdr:colOff>
      <xdr:row>68</xdr:row>
      <xdr:rowOff>31749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1445A8-22EA-4B03-AB80-FA4E16212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8</xdr:col>
      <xdr:colOff>157693</xdr:colOff>
      <xdr:row>4</xdr:row>
      <xdr:rowOff>120650</xdr:rowOff>
    </xdr:from>
    <xdr:to>
      <xdr:col>18</xdr:col>
      <xdr:colOff>80585</xdr:colOff>
      <xdr:row>24</xdr:row>
      <xdr:rowOff>859895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66353B-0030-4C02-87EF-618743D5E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oneCellAnchor>
    <xdr:from>
      <xdr:col>0</xdr:col>
      <xdr:colOff>0</xdr:colOff>
      <xdr:row>0</xdr:row>
      <xdr:rowOff>0</xdr:rowOff>
    </xdr:from>
    <xdr:ext cx="1762431" cy="443566"/>
    <xdr:pic>
      <xdr:nvPicPr>
        <xdr:cNvPr id="7" name="Picture 6">
          <a:extLst>
            <a:ext uri="{FF2B5EF4-FFF2-40B4-BE49-F238E27FC236}">
              <a16:creationId xmlns:a16="http://schemas.microsoft.com/office/drawing/2014/main" id="{6D268CD6-4C8E-49D0-8919-E134970CA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762431" cy="443566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0</xdr:row>
      <xdr:rowOff>0</xdr:rowOff>
    </xdr:from>
    <xdr:ext cx="1762431" cy="443566"/>
    <xdr:pic>
      <xdr:nvPicPr>
        <xdr:cNvPr id="8" name="Picture 7">
          <a:extLst>
            <a:ext uri="{FF2B5EF4-FFF2-40B4-BE49-F238E27FC236}">
              <a16:creationId xmlns:a16="http://schemas.microsoft.com/office/drawing/2014/main" id="{B78BBB96-7AD6-48E4-ADED-1C7E8E586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0" y="0"/>
          <a:ext cx="1762431" cy="44356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38428</xdr:colOff>
      <xdr:row>31</xdr:row>
      <xdr:rowOff>109904</xdr:rowOff>
    </xdr:from>
    <xdr:to>
      <xdr:col>10</xdr:col>
      <xdr:colOff>722313</xdr:colOff>
      <xdr:row>74</xdr:row>
      <xdr:rowOff>7936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73821D-FF88-4A38-B8F5-8C96B2E54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11</xdr:col>
      <xdr:colOff>123092</xdr:colOff>
      <xdr:row>31</xdr:row>
      <xdr:rowOff>88534</xdr:rowOff>
    </xdr:from>
    <xdr:to>
      <xdr:col>20</xdr:col>
      <xdr:colOff>391381</xdr:colOff>
      <xdr:row>74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EE8E67-041F-4D4B-A4DE-67CF23045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422502</xdr:colOff>
      <xdr:row>0</xdr:row>
      <xdr:rowOff>458302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AF01CC-BF27-4001-B97E-0CA34CBEC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23220" cy="460711"/>
        </a:xfrm>
        <a:prstGeom prst="rect">
          <a:avLst/>
        </a:prstGeom>
      </xdr:spPr>
    </xdr:pic>
    <xdr:clientData/>
  </xdr:twoCellAnchor>
  <xdr:twoCellAnchor>
    <xdr:from>
      <xdr:col>11</xdr:col>
      <xdr:colOff>130968</xdr:colOff>
      <xdr:row>3</xdr:row>
      <xdr:rowOff>136525</xdr:rowOff>
    </xdr:from>
    <xdr:to>
      <xdr:col>21</xdr:col>
      <xdr:colOff>174624</xdr:colOff>
      <xdr:row>27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56CCC-AF8C-4DC0-9F1A-6146C713E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oneCellAnchor>
    <xdr:from>
      <xdr:col>11</xdr:col>
      <xdr:colOff>0</xdr:colOff>
      <xdr:row>0</xdr:row>
      <xdr:rowOff>0</xdr:rowOff>
    </xdr:from>
    <xdr:ext cx="1812965" cy="458302"/>
    <xdr:pic>
      <xdr:nvPicPr>
        <xdr:cNvPr id="6" name="Picture 5">
          <a:extLst>
            <a:ext uri="{FF2B5EF4-FFF2-40B4-BE49-F238E27FC236}">
              <a16:creationId xmlns:a16="http://schemas.microsoft.com/office/drawing/2014/main" id="{CE97E90A-55E1-48C0-9B03-F5EEEC480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12965" cy="45830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167517</xdr:colOff>
      <xdr:row>3</xdr:row>
      <xdr:rowOff>175382</xdr:rowOff>
    </xdr:from>
    <xdr:to>
      <xdr:col>20</xdr:col>
      <xdr:colOff>423332</xdr:colOff>
      <xdr:row>24</xdr:row>
      <xdr:rowOff>285750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D74BB-609A-45DA-AC97-80A54C88A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127000</xdr:colOff>
      <xdr:row>28</xdr:row>
      <xdr:rowOff>13405</xdr:rowOff>
    </xdr:from>
    <xdr:to>
      <xdr:col>9</xdr:col>
      <xdr:colOff>818446</xdr:colOff>
      <xdr:row>68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81ECAF-6FE7-43EB-BEA8-2212CC10A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10</xdr:col>
      <xdr:colOff>117122</xdr:colOff>
      <xdr:row>28</xdr:row>
      <xdr:rowOff>27516</xdr:rowOff>
    </xdr:from>
    <xdr:to>
      <xdr:col>20</xdr:col>
      <xdr:colOff>373944</xdr:colOff>
      <xdr:row>69</xdr:row>
      <xdr:rowOff>134056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6A94DE-5C75-4DFE-9403-857112F93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477020</xdr:colOff>
      <xdr:row>1</xdr:row>
      <xdr:rowOff>3511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752D57-8273-4A1A-A673-ADF4C6A24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1890" cy="457082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0</xdr:row>
      <xdr:rowOff>0</xdr:rowOff>
    </xdr:from>
    <xdr:ext cx="1824631" cy="462122"/>
    <xdr:pic>
      <xdr:nvPicPr>
        <xdr:cNvPr id="7" name="Picture 6">
          <a:extLst>
            <a:ext uri="{FF2B5EF4-FFF2-40B4-BE49-F238E27FC236}">
              <a16:creationId xmlns:a16="http://schemas.microsoft.com/office/drawing/2014/main" id="{B9F5F748-1BCA-4A50-B0E2-2CC6C3513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4631" cy="46212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6170706" cy="92037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09BEE-B75C-450C-986C-2E84E58051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124054</xdr:colOff>
      <xdr:row>9</xdr:row>
      <xdr:rowOff>90714</xdr:rowOff>
    </xdr:from>
    <xdr:to>
      <xdr:col>5</xdr:col>
      <xdr:colOff>526144</xdr:colOff>
      <xdr:row>22</xdr:row>
      <xdr:rowOff>1330098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65D9-2E99-4B1D-95B7-FD31D1C35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127000</xdr:colOff>
      <xdr:row>27</xdr:row>
      <xdr:rowOff>14288</xdr:rowOff>
    </xdr:from>
    <xdr:to>
      <xdr:col>5</xdr:col>
      <xdr:colOff>1651000</xdr:colOff>
      <xdr:row>66</xdr:row>
      <xdr:rowOff>137055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8D35E5-BFF3-434E-AF11-781D6E7EB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6</xdr:col>
      <xdr:colOff>95250</xdr:colOff>
      <xdr:row>27</xdr:row>
      <xdr:rowOff>14817</xdr:rowOff>
    </xdr:from>
    <xdr:to>
      <xdr:col>13</xdr:col>
      <xdr:colOff>398993</xdr:colOff>
      <xdr:row>66</xdr:row>
      <xdr:rowOff>137584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71E34A-79EE-43ED-AADD-41A5E9DF6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0</xdr:col>
      <xdr:colOff>205873</xdr:colOff>
      <xdr:row>9</xdr:row>
      <xdr:rowOff>197932</xdr:rowOff>
    </xdr:from>
    <xdr:to>
      <xdr:col>1</xdr:col>
      <xdr:colOff>107293</xdr:colOff>
      <xdr:row>10</xdr:row>
      <xdr:rowOff>180303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478A73-A158-4C11-B7AB-94CCDE4C4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873" y="2375075"/>
          <a:ext cx="790420" cy="2000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348256</xdr:colOff>
      <xdr:row>1</xdr:row>
      <xdr:rowOff>1747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E73A34-B68E-42DE-9B67-813C3FEB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4631" cy="462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343670</xdr:colOff>
      <xdr:row>1</xdr:row>
      <xdr:rowOff>3511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0F3901-C8FE-407A-A796-E24D8A28C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3220" cy="46071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0</xdr:row>
      <xdr:rowOff>0</xdr:rowOff>
    </xdr:from>
    <xdr:ext cx="1829923" cy="456830"/>
    <xdr:pic>
      <xdr:nvPicPr>
        <xdr:cNvPr id="8" name="Picture 7">
          <a:extLst>
            <a:ext uri="{FF2B5EF4-FFF2-40B4-BE49-F238E27FC236}">
              <a16:creationId xmlns:a16="http://schemas.microsoft.com/office/drawing/2014/main" id="{1BC7424A-56EA-4467-911A-CB6EE2EE0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9923" cy="45683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825337" cy="458594"/>
    <xdr:pic>
      <xdr:nvPicPr>
        <xdr:cNvPr id="9" name="Picture 8">
          <a:extLst>
            <a:ext uri="{FF2B5EF4-FFF2-40B4-BE49-F238E27FC236}">
              <a16:creationId xmlns:a16="http://schemas.microsoft.com/office/drawing/2014/main" id="{AB3BE0AB-A997-4D58-9CFD-BAA95B33E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5337" cy="45859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9</xdr:row>
      <xdr:rowOff>127000</xdr:rowOff>
    </xdr:from>
    <xdr:to>
      <xdr:col>4</xdr:col>
      <xdr:colOff>1792942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B2A41-5E4F-4C8D-AB5A-FCD14445D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230651</xdr:colOff>
      <xdr:row>27</xdr:row>
      <xdr:rowOff>2988</xdr:rowOff>
    </xdr:from>
    <xdr:to>
      <xdr:col>6</xdr:col>
      <xdr:colOff>616323</xdr:colOff>
      <xdr:row>66</xdr:row>
      <xdr:rowOff>2988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FADD57-403F-4F09-A44A-E7861B21E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6</xdr:col>
      <xdr:colOff>864458</xdr:colOff>
      <xdr:row>27</xdr:row>
      <xdr:rowOff>36285</xdr:rowOff>
    </xdr:from>
    <xdr:to>
      <xdr:col>15</xdr:col>
      <xdr:colOff>666195</xdr:colOff>
      <xdr:row>66</xdr:row>
      <xdr:rowOff>36285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845654-8AF5-46FB-B99E-1B36A6810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487956</xdr:colOff>
      <xdr:row>1</xdr:row>
      <xdr:rowOff>46197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B406F5-C4A2-4203-88ED-D221B90BF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7806" cy="4589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2</xdr:col>
      <xdr:colOff>438150</xdr:colOff>
      <xdr:row>1</xdr:row>
      <xdr:rowOff>36535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0D196E-BDE7-44E2-9411-D8F113A9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"/>
          <a:ext cx="1778000" cy="449284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0</xdr:row>
      <xdr:rowOff>0</xdr:rowOff>
    </xdr:from>
    <xdr:ext cx="1827806" cy="458947"/>
    <xdr:pic>
      <xdr:nvPicPr>
        <xdr:cNvPr id="7" name="Picture 6">
          <a:extLst>
            <a:ext uri="{FF2B5EF4-FFF2-40B4-BE49-F238E27FC236}">
              <a16:creationId xmlns:a16="http://schemas.microsoft.com/office/drawing/2014/main" id="{DEE11AFA-13A9-4F90-8BA5-F537BA81E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7806" cy="458947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1</xdr:rowOff>
    </xdr:from>
    <xdr:ext cx="1778000" cy="449284"/>
    <xdr:pic>
      <xdr:nvPicPr>
        <xdr:cNvPr id="8" name="Picture 7">
          <a:extLst>
            <a:ext uri="{FF2B5EF4-FFF2-40B4-BE49-F238E27FC236}">
              <a16:creationId xmlns:a16="http://schemas.microsoft.com/office/drawing/2014/main" id="{36F1BAE6-F439-4B44-B079-382262CD2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"/>
          <a:ext cx="1778000" cy="44928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115453</xdr:colOff>
      <xdr:row>14</xdr:row>
      <xdr:rowOff>11338</xdr:rowOff>
    </xdr:from>
    <xdr:to>
      <xdr:col>5</xdr:col>
      <xdr:colOff>362856</xdr:colOff>
      <xdr:row>25</xdr:row>
      <xdr:rowOff>1542143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38860-4E91-48F5-A4D0-ACBD5895F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98809</xdr:colOff>
      <xdr:row>29</xdr:row>
      <xdr:rowOff>11481</xdr:rowOff>
    </xdr:from>
    <xdr:to>
      <xdr:col>5</xdr:col>
      <xdr:colOff>1289242</xdr:colOff>
      <xdr:row>71</xdr:row>
      <xdr:rowOff>34018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2F83E6-F977-49AC-8979-8FA1FE552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6</xdr:col>
      <xdr:colOff>129267</xdr:colOff>
      <xdr:row>29</xdr:row>
      <xdr:rowOff>31297</xdr:rowOff>
    </xdr:from>
    <xdr:to>
      <xdr:col>15</xdr:col>
      <xdr:colOff>453571</xdr:colOff>
      <xdr:row>70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10D4F1-B5F3-495F-94EE-5D141AEC3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350372</xdr:colOff>
      <xdr:row>1</xdr:row>
      <xdr:rowOff>14058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872F0C-7B56-49D1-BE4C-348249F2B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7806" cy="4589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345786</xdr:colOff>
      <xdr:row>1</xdr:row>
      <xdr:rowOff>15822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A10E73-34B2-4A66-A877-C30B7239D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3220" cy="46071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0</xdr:row>
      <xdr:rowOff>0</xdr:rowOff>
    </xdr:from>
    <xdr:ext cx="1835818" cy="457360"/>
    <xdr:pic>
      <xdr:nvPicPr>
        <xdr:cNvPr id="8" name="Picture 7">
          <a:extLst>
            <a:ext uri="{FF2B5EF4-FFF2-40B4-BE49-F238E27FC236}">
              <a16:creationId xmlns:a16="http://schemas.microsoft.com/office/drawing/2014/main" id="{01C03C8C-1891-4884-B095-46A813A60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35818" cy="45736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831232" cy="459124"/>
    <xdr:pic>
      <xdr:nvPicPr>
        <xdr:cNvPr id="9" name="Picture 8">
          <a:extLst>
            <a:ext uri="{FF2B5EF4-FFF2-40B4-BE49-F238E27FC236}">
              <a16:creationId xmlns:a16="http://schemas.microsoft.com/office/drawing/2014/main" id="{B7D3254E-E91E-4552-8FF9-E40DFD04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31232" cy="45912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36669</xdr:colOff>
      <xdr:row>8</xdr:row>
      <xdr:rowOff>132186</xdr:rowOff>
    </xdr:from>
    <xdr:to>
      <xdr:col>4</xdr:col>
      <xdr:colOff>1600916</xdr:colOff>
      <xdr:row>24</xdr:row>
      <xdr:rowOff>134154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399D0-7DF2-4EFB-9C7F-F0F24BD75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117473</xdr:colOff>
      <xdr:row>29</xdr:row>
      <xdr:rowOff>12700</xdr:rowOff>
    </xdr:from>
    <xdr:to>
      <xdr:col>5</xdr:col>
      <xdr:colOff>1779788</xdr:colOff>
      <xdr:row>67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CEBC72-37F8-4138-BF32-19A0877C2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6</xdr:col>
      <xdr:colOff>89705</xdr:colOff>
      <xdr:row>29</xdr:row>
      <xdr:rowOff>28619</xdr:rowOff>
    </xdr:from>
    <xdr:to>
      <xdr:col>14</xdr:col>
      <xdr:colOff>495256</xdr:colOff>
      <xdr:row>67</xdr:row>
      <xdr:rowOff>177173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0A7313-123D-4D96-B245-38DA3D918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399056</xdr:colOff>
      <xdr:row>1</xdr:row>
      <xdr:rowOff>84297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CA8077-F060-4861-B0F6-7FC7CA4C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7806" cy="4589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394470</xdr:colOff>
      <xdr:row>1</xdr:row>
      <xdr:rowOff>86061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226A91-2531-4A7A-8968-B11EBBB8C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3220" cy="46071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0</xdr:row>
      <xdr:rowOff>0</xdr:rowOff>
    </xdr:from>
    <xdr:ext cx="1827806" cy="458947"/>
    <xdr:pic>
      <xdr:nvPicPr>
        <xdr:cNvPr id="8" name="Picture 7">
          <a:extLst>
            <a:ext uri="{FF2B5EF4-FFF2-40B4-BE49-F238E27FC236}">
              <a16:creationId xmlns:a16="http://schemas.microsoft.com/office/drawing/2014/main" id="{31C346A6-B931-4B80-8BC6-B7EE32F8E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7806" cy="458947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823220" cy="460711"/>
    <xdr:pic>
      <xdr:nvPicPr>
        <xdr:cNvPr id="9" name="Picture 8">
          <a:extLst>
            <a:ext uri="{FF2B5EF4-FFF2-40B4-BE49-F238E27FC236}">
              <a16:creationId xmlns:a16="http://schemas.microsoft.com/office/drawing/2014/main" id="{FAAF42B1-857D-4094-970A-0308440A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3220" cy="46071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66671</xdr:colOff>
      <xdr:row>9</xdr:row>
      <xdr:rowOff>130913</xdr:rowOff>
    </xdr:from>
    <xdr:to>
      <xdr:col>5</xdr:col>
      <xdr:colOff>907993</xdr:colOff>
      <xdr:row>17</xdr:row>
      <xdr:rowOff>214922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27BEA-590F-4A69-9972-C5EF01342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86548</xdr:colOff>
      <xdr:row>25</xdr:row>
      <xdr:rowOff>34115</xdr:rowOff>
    </xdr:from>
    <xdr:to>
      <xdr:col>5</xdr:col>
      <xdr:colOff>1651000</xdr:colOff>
      <xdr:row>63</xdr:row>
      <xdr:rowOff>30439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E1BCC8-244F-4F2F-BDE1-FB85CEBC2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6</xdr:col>
      <xdr:colOff>124558</xdr:colOff>
      <xdr:row>25</xdr:row>
      <xdr:rowOff>68385</xdr:rowOff>
    </xdr:from>
    <xdr:to>
      <xdr:col>15</xdr:col>
      <xdr:colOff>420077</xdr:colOff>
      <xdr:row>63</xdr:row>
      <xdr:rowOff>68385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805816-3F49-4DBB-B6FC-362997249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316506</xdr:colOff>
      <xdr:row>1</xdr:row>
      <xdr:rowOff>84297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627A00-EFFF-4380-91CF-2844562F6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7806" cy="4589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311920</xdr:colOff>
      <xdr:row>1</xdr:row>
      <xdr:rowOff>86061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54E2AA-F79C-434A-A2A6-3A9306A3E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3220" cy="46071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0</xdr:row>
      <xdr:rowOff>0</xdr:rowOff>
    </xdr:from>
    <xdr:ext cx="1827138" cy="458613"/>
    <xdr:pic>
      <xdr:nvPicPr>
        <xdr:cNvPr id="7" name="Picture 6">
          <a:extLst>
            <a:ext uri="{FF2B5EF4-FFF2-40B4-BE49-F238E27FC236}">
              <a16:creationId xmlns:a16="http://schemas.microsoft.com/office/drawing/2014/main" id="{CE0CD0D7-D087-4605-AA8B-6802DBA5B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7138" cy="458613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822552" cy="460377"/>
    <xdr:pic>
      <xdr:nvPicPr>
        <xdr:cNvPr id="8" name="Picture 7">
          <a:extLst>
            <a:ext uri="{FF2B5EF4-FFF2-40B4-BE49-F238E27FC236}">
              <a16:creationId xmlns:a16="http://schemas.microsoft.com/office/drawing/2014/main" id="{A8688EE6-816C-4A29-B8F3-02F83C4C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2552" cy="46037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97527</xdr:colOff>
      <xdr:row>8</xdr:row>
      <xdr:rowOff>171328</xdr:rowOff>
    </xdr:from>
    <xdr:to>
      <xdr:col>5</xdr:col>
      <xdr:colOff>539152</xdr:colOff>
      <xdr:row>11</xdr:row>
      <xdr:rowOff>2168584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78363-54F7-4D82-B11B-C3E85E277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192116</xdr:colOff>
      <xdr:row>19</xdr:row>
      <xdr:rowOff>25520</xdr:rowOff>
    </xdr:from>
    <xdr:to>
      <xdr:col>5</xdr:col>
      <xdr:colOff>1833114</xdr:colOff>
      <xdr:row>57</xdr:row>
      <xdr:rowOff>52238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7F9F5E-A486-4E23-AA31-6B37D81BF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6</xdr:col>
      <xdr:colOff>147248</xdr:colOff>
      <xdr:row>19</xdr:row>
      <xdr:rowOff>103038</xdr:rowOff>
    </xdr:from>
    <xdr:to>
      <xdr:col>14</xdr:col>
      <xdr:colOff>564612</xdr:colOff>
      <xdr:row>57</xdr:row>
      <xdr:rowOff>129756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9CC1D8-3797-4765-8C78-DC64876C6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364510</xdr:colOff>
      <xdr:row>1</xdr:row>
      <xdr:rowOff>84297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11D7B7-AADA-4CDF-8BD6-CD62D152C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7806" cy="4589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359924</xdr:colOff>
      <xdr:row>1</xdr:row>
      <xdr:rowOff>86061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3BDFD9-5D35-4AA7-B372-E8D26CB5C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3220" cy="46071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0</xdr:row>
      <xdr:rowOff>0</xdr:rowOff>
    </xdr:from>
    <xdr:ext cx="1827278" cy="458493"/>
    <xdr:pic>
      <xdr:nvPicPr>
        <xdr:cNvPr id="7" name="Picture 6">
          <a:extLst>
            <a:ext uri="{FF2B5EF4-FFF2-40B4-BE49-F238E27FC236}">
              <a16:creationId xmlns:a16="http://schemas.microsoft.com/office/drawing/2014/main" id="{A143AFA0-6503-45E8-9CC3-8EF73B23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7278" cy="458493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822692" cy="460257"/>
    <xdr:pic>
      <xdr:nvPicPr>
        <xdr:cNvPr id="8" name="Picture 7">
          <a:extLst>
            <a:ext uri="{FF2B5EF4-FFF2-40B4-BE49-F238E27FC236}">
              <a16:creationId xmlns:a16="http://schemas.microsoft.com/office/drawing/2014/main" id="{56A0B330-07BF-4916-8847-47D045057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822692" cy="46025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6166338" cy="920261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4C592-159A-4DB2-8F1B-DE8AE0E02C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212587</xdr:colOff>
      <xdr:row>0</xdr:row>
      <xdr:rowOff>151059</xdr:rowOff>
    </xdr:from>
    <xdr:to>
      <xdr:col>8</xdr:col>
      <xdr:colOff>360096</xdr:colOff>
      <xdr:row>29</xdr:row>
      <xdr:rowOff>95841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2389C-0B4E-4077-8D80-67FF1806A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521409</xdr:colOff>
      <xdr:row>0</xdr:row>
      <xdr:rowOff>119112</xdr:rowOff>
    </xdr:from>
    <xdr:to>
      <xdr:col>16</xdr:col>
      <xdr:colOff>410975</xdr:colOff>
      <xdr:row>29</xdr:row>
      <xdr:rowOff>77699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E530EE-AF7B-46AC-8AA9-42E7545AF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197721</xdr:colOff>
      <xdr:row>30</xdr:row>
      <xdr:rowOff>38317</xdr:rowOff>
    </xdr:from>
    <xdr:to>
      <xdr:col>8</xdr:col>
      <xdr:colOff>309125</xdr:colOff>
      <xdr:row>60</xdr:row>
      <xdr:rowOff>42566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296DE3-B458-42D7-BADB-824F7ADB5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445743</xdr:colOff>
      <xdr:row>30</xdr:row>
      <xdr:rowOff>28397</xdr:rowOff>
    </xdr:from>
    <xdr:to>
      <xdr:col>16</xdr:col>
      <xdr:colOff>407516</xdr:colOff>
      <xdr:row>60</xdr:row>
      <xdr:rowOff>43263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D29831-095D-4E7A-B3E6-7D6588DB0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520075</xdr:colOff>
      <xdr:row>0</xdr:row>
      <xdr:rowOff>105914</xdr:rowOff>
    </xdr:from>
    <xdr:to>
      <xdr:col>38</xdr:col>
      <xdr:colOff>480785</xdr:colOff>
      <xdr:row>60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A06BF7-9746-4BB7-B7BD-77884FBB6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54428</xdr:rowOff>
    </xdr:from>
    <xdr:to>
      <xdr:col>9</xdr:col>
      <xdr:colOff>604612</xdr:colOff>
      <xdr:row>41</xdr:row>
      <xdr:rowOff>150586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F1F201-24FD-434C-A597-7D00C20FF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199572</xdr:colOff>
      <xdr:row>1</xdr:row>
      <xdr:rowOff>54428</xdr:rowOff>
    </xdr:from>
    <xdr:to>
      <xdr:col>19</xdr:col>
      <xdr:colOff>550183</xdr:colOff>
      <xdr:row>41</xdr:row>
      <xdr:rowOff>150586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8145CA-2917-4698-B883-5A2DBA7A0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42</xdr:row>
      <xdr:rowOff>36286</xdr:rowOff>
    </xdr:from>
    <xdr:to>
      <xdr:col>9</xdr:col>
      <xdr:colOff>604612</xdr:colOff>
      <xdr:row>83</xdr:row>
      <xdr:rowOff>65315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0A9B90-F0D4-4959-935F-CAD1D4E9C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217714</xdr:colOff>
      <xdr:row>42</xdr:row>
      <xdr:rowOff>54429</xdr:rowOff>
    </xdr:from>
    <xdr:to>
      <xdr:col>19</xdr:col>
      <xdr:colOff>568325</xdr:colOff>
      <xdr:row>82</xdr:row>
      <xdr:rowOff>150586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3E9431F-276A-41DA-A6AA-ABE0BC3DE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absoluteAnchor>
    <xdr:pos x="12269934" y="243072"/>
    <xdr:ext cx="12863286" cy="23608393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FA8548-F73D-44CB-92B7-A9E23E426F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  <xdr:twoCellAnchor>
    <xdr:from>
      <xdr:col>0</xdr:col>
      <xdr:colOff>272143</xdr:colOff>
      <xdr:row>84</xdr:row>
      <xdr:rowOff>36286</xdr:rowOff>
    </xdr:from>
    <xdr:to>
      <xdr:col>10</xdr:col>
      <xdr:colOff>5898</xdr:colOff>
      <xdr:row>124</xdr:row>
      <xdr:rowOff>132443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D22E1D-93FF-4D24-90D7-69D64678B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235857</xdr:colOff>
      <xdr:row>84</xdr:row>
      <xdr:rowOff>36286</xdr:rowOff>
    </xdr:from>
    <xdr:to>
      <xdr:col>19</xdr:col>
      <xdr:colOff>586468</xdr:colOff>
      <xdr:row>124</xdr:row>
      <xdr:rowOff>132443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BEE1BB-61C6-40F5-93E1-5E3921BEC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TIB7470/Documents/090%20-%20IT%20Governance%20Toolbox/091%20-%20TRICS5/TRICS5%20Version%201.05%20Release/Empty%20TRICS5%20Files/TRICS5%20-%20020%20Cascade%20Prioritiser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TIB7470/Documents/090%20-%20IT%20Governance%20Toolbox/091%20-%20TRICS5/TRICS5%20Version%201.05%20Release/Empty%20TRICS5%20Files/TRICS5%20-%20010%20TIP%20Prioritis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CS5"/>
      <sheetName val="Intro"/>
      <sheetName val="1A - Prioritise EG"/>
      <sheetName val="Chart 1A.1"/>
      <sheetName val="1B - Prioritise EG - Voting"/>
      <sheetName val="Chart 1B.1"/>
      <sheetName val="2 - EG Priorities"/>
      <sheetName val="Chart 2.1"/>
      <sheetName val="3 - Confirm ITG"/>
      <sheetName val="Chart 3.1"/>
      <sheetName val="4A - Enablers Priority Process"/>
      <sheetName val="Chart 4A.1"/>
      <sheetName val="Chart 4A.2"/>
      <sheetName val="4B - Enablers Priority Org Str"/>
      <sheetName val="Chart 4B.1"/>
      <sheetName val="Chart 4B.2"/>
      <sheetName val="CALC01"/>
      <sheetName val="PARAM"/>
      <sheetName val="TEST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CS5"/>
      <sheetName val="Change Log"/>
      <sheetName val="Intro"/>
      <sheetName val="Logic"/>
      <sheetName val="1A - Trigger Events"/>
      <sheetName val="Chart1"/>
      <sheetName val="1B - Business Priorities"/>
      <sheetName val="Chart2"/>
      <sheetName val="1C - IT Priorities for IT"/>
      <sheetName val="Chart3"/>
      <sheetName val="1D -IT Issues"/>
      <sheetName val="Chart4"/>
      <sheetName val="Chart5"/>
      <sheetName val="Chart 1D.3"/>
      <sheetName val="Chart6"/>
      <sheetName val="2 - EG Ranking"/>
      <sheetName val="Chart7"/>
      <sheetName val="Chart8"/>
      <sheetName val="3 - ITG Ranking"/>
      <sheetName val="Chart9"/>
      <sheetName val="Chart10"/>
      <sheetName val="4A - Enablers Priority Process"/>
      <sheetName val="Chart11"/>
      <sheetName val="Chart12"/>
      <sheetName val="Chart13"/>
      <sheetName val="4B - Enablers Priority Org Str"/>
      <sheetName val="Chart14"/>
      <sheetName val="Chart15"/>
      <sheetName val="Chart16"/>
      <sheetName val="CALC A"/>
      <sheetName val="CALC B"/>
      <sheetName val="CALC C"/>
      <sheetName val="CALC D"/>
      <sheetName val="CALC E"/>
      <sheetName val="CALC F"/>
      <sheetName val="PARAM"/>
      <sheetName val="TEST"/>
      <sheetName val="CONTROL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8065-9F43-4791-BD25-A20DE562BDDA}">
  <sheetPr>
    <tabColor rgb="FF7030A0"/>
    <pageSetUpPr fitToPage="1"/>
  </sheetPr>
  <dimension ref="A1:D33"/>
  <sheetViews>
    <sheetView showGridLines="0" zoomScaleNormal="100" workbookViewId="0">
      <selection activeCell="A7" sqref="A7:D7"/>
    </sheetView>
  </sheetViews>
  <sheetFormatPr defaultRowHeight="14.45"/>
  <cols>
    <col min="1" max="1" width="8" customWidth="1"/>
    <col min="2" max="2" width="15.42578125" style="57" bestFit="1" customWidth="1"/>
    <col min="3" max="3" width="56.85546875" style="159" bestFit="1" customWidth="1"/>
    <col min="4" max="4" width="52.42578125" style="159" customWidth="1"/>
  </cols>
  <sheetData>
    <row r="1" spans="1:4" ht="20.45" thickBot="1">
      <c r="A1" s="172" t="s">
        <v>0</v>
      </c>
      <c r="B1" s="173"/>
      <c r="C1" s="173"/>
      <c r="D1" s="173"/>
    </row>
    <row r="2" spans="1:4" ht="18.600000000000001" thickTop="1">
      <c r="A2" s="155"/>
      <c r="B2" s="156"/>
      <c r="C2" s="157"/>
      <c r="D2" s="157"/>
    </row>
    <row r="3" spans="1:4" ht="18" thickBot="1">
      <c r="A3" s="174" t="s">
        <v>1</v>
      </c>
      <c r="B3" s="174"/>
      <c r="C3" s="174"/>
      <c r="D3" s="158"/>
    </row>
    <row r="4" spans="1:4" ht="18.600000000000001" thickTop="1">
      <c r="D4" s="157"/>
    </row>
    <row r="5" spans="1:4" s="162" customFormat="1" ht="52.5" customHeight="1">
      <c r="A5" s="160"/>
      <c r="B5" s="161" t="s">
        <v>2</v>
      </c>
      <c r="C5" s="175" t="s">
        <v>3</v>
      </c>
      <c r="D5" s="176"/>
    </row>
    <row r="6" spans="1:4" ht="18">
      <c r="A6" s="155"/>
      <c r="B6" s="156"/>
      <c r="C6" s="157"/>
      <c r="D6" s="157"/>
    </row>
    <row r="7" spans="1:4">
      <c r="A7" s="177" t="s">
        <v>4</v>
      </c>
      <c r="B7" s="177"/>
      <c r="C7" s="177"/>
      <c r="D7" s="177"/>
    </row>
    <row r="9" spans="1:4">
      <c r="A9" s="178"/>
      <c r="B9" s="178"/>
      <c r="C9" s="164"/>
      <c r="D9" s="165"/>
    </row>
    <row r="10" spans="1:4">
      <c r="A10" s="166"/>
      <c r="B10" s="167"/>
      <c r="C10" s="176"/>
      <c r="D10" s="176"/>
    </row>
    <row r="11" spans="1:4">
      <c r="A11" s="178"/>
      <c r="B11" s="178"/>
      <c r="C11" s="165"/>
      <c r="D11" s="165"/>
    </row>
    <row r="12" spans="1:4" s="19" customFormat="1">
      <c r="A12" s="179"/>
      <c r="B12" s="168"/>
      <c r="C12" s="169"/>
      <c r="D12" s="169"/>
    </row>
    <row r="13" spans="1:4" s="19" customFormat="1">
      <c r="A13" s="179"/>
      <c r="B13" s="168"/>
      <c r="C13" s="169"/>
      <c r="D13" s="169"/>
    </row>
    <row r="14" spans="1:4" s="19" customFormat="1">
      <c r="A14" s="171"/>
      <c r="B14" s="168"/>
      <c r="C14" s="169"/>
      <c r="D14" s="169"/>
    </row>
    <row r="15" spans="1:4" s="19" customFormat="1">
      <c r="A15" s="171"/>
      <c r="B15" s="168"/>
      <c r="C15" s="169"/>
      <c r="D15" s="169"/>
    </row>
    <row r="16" spans="1:4" s="19" customFormat="1">
      <c r="A16" s="171"/>
      <c r="B16" s="168"/>
      <c r="C16" s="169"/>
      <c r="D16" s="169"/>
    </row>
    <row r="17" spans="1:4" s="19" customFormat="1">
      <c r="A17" s="171"/>
      <c r="B17" s="168"/>
      <c r="C17" s="169"/>
      <c r="D17" s="169"/>
    </row>
    <row r="18" spans="1:4" s="19" customFormat="1">
      <c r="A18" s="171"/>
      <c r="B18" s="168"/>
      <c r="C18" s="169"/>
      <c r="D18" s="169"/>
    </row>
    <row r="19" spans="1:4" s="19" customFormat="1">
      <c r="A19" s="171"/>
      <c r="B19" s="168"/>
      <c r="C19" s="169"/>
      <c r="D19" s="169"/>
    </row>
    <row r="20" spans="1:4" s="19" customFormat="1">
      <c r="A20" s="171"/>
      <c r="B20" s="168"/>
      <c r="C20" s="169"/>
      <c r="D20" s="169"/>
    </row>
    <row r="21" spans="1:4" s="19" customFormat="1">
      <c r="A21" s="171"/>
      <c r="B21" s="168"/>
      <c r="C21" s="169"/>
      <c r="D21" s="169"/>
    </row>
    <row r="22" spans="1:4" s="19" customFormat="1">
      <c r="A22" s="171"/>
      <c r="B22" s="168"/>
      <c r="C22" s="169"/>
      <c r="D22" s="169"/>
    </row>
    <row r="23" spans="1:4" s="19" customFormat="1">
      <c r="A23" s="171"/>
      <c r="B23" s="168"/>
      <c r="C23" s="169"/>
      <c r="D23" s="169"/>
    </row>
    <row r="24" spans="1:4" s="19" customFormat="1">
      <c r="A24" s="171"/>
      <c r="B24" s="168"/>
      <c r="C24" s="169"/>
      <c r="D24" s="169"/>
    </row>
    <row r="25" spans="1:4" s="19" customFormat="1">
      <c r="A25" s="171"/>
      <c r="B25" s="168"/>
      <c r="C25" s="169"/>
      <c r="D25" s="169"/>
    </row>
    <row r="26" spans="1:4" s="19" customFormat="1">
      <c r="A26" s="171"/>
      <c r="B26" s="168"/>
      <c r="C26" s="169"/>
      <c r="D26" s="169"/>
    </row>
    <row r="27" spans="1:4" s="19" customFormat="1">
      <c r="A27" s="171"/>
      <c r="B27" s="168"/>
      <c r="C27" s="169"/>
      <c r="D27" s="169"/>
    </row>
    <row r="28" spans="1:4" s="19" customFormat="1">
      <c r="A28" s="171"/>
      <c r="B28" s="168"/>
      <c r="C28" s="169"/>
      <c r="D28" s="169"/>
    </row>
    <row r="29" spans="1:4" s="19" customFormat="1">
      <c r="A29" s="171"/>
      <c r="B29" s="168"/>
      <c r="C29" s="169"/>
      <c r="D29" s="169"/>
    </row>
    <row r="30" spans="1:4" s="19" customFormat="1">
      <c r="A30" s="171"/>
      <c r="B30" s="168"/>
      <c r="C30" s="169"/>
      <c r="D30" s="169"/>
    </row>
    <row r="31" spans="1:4" s="19" customFormat="1">
      <c r="A31" s="171"/>
      <c r="B31" s="168"/>
      <c r="C31" s="169"/>
      <c r="D31" s="169"/>
    </row>
    <row r="32" spans="1:4">
      <c r="A32" s="170"/>
      <c r="B32" s="167"/>
      <c r="C32" s="164"/>
      <c r="D32" s="165"/>
    </row>
    <row r="33" spans="1:4">
      <c r="A33" s="170"/>
      <c r="B33" s="167"/>
      <c r="C33" s="164"/>
      <c r="D33" s="165"/>
    </row>
  </sheetData>
  <mergeCells count="17">
    <mergeCell ref="A22:A23"/>
    <mergeCell ref="A24:A25"/>
    <mergeCell ref="A26:A27"/>
    <mergeCell ref="A28:A29"/>
    <mergeCell ref="A30:A31"/>
    <mergeCell ref="A20:A21"/>
    <mergeCell ref="A1:D1"/>
    <mergeCell ref="A3:C3"/>
    <mergeCell ref="C5:D5"/>
    <mergeCell ref="A7:D7"/>
    <mergeCell ref="A9:B9"/>
    <mergeCell ref="C10:D10"/>
    <mergeCell ref="A11:B11"/>
    <mergeCell ref="A12:A13"/>
    <mergeCell ref="A14:A15"/>
    <mergeCell ref="A16:A17"/>
    <mergeCell ref="A18:A19"/>
  </mergeCells>
  <pageMargins left="0.25" right="0.25" top="0.75" bottom="0.75" header="0.3" footer="0.3"/>
  <pageSetup paperSize="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2D22-CF7A-47BA-97A3-A33108FCC4FD}">
  <sheetPr>
    <tabColor theme="1"/>
    <pageSetUpPr fitToPage="1"/>
  </sheetPr>
  <dimension ref="A1:Y51"/>
  <sheetViews>
    <sheetView showGridLines="0" view="pageBreakPreview" zoomScale="70" zoomScaleNormal="85" zoomScaleSheetLayoutView="70" workbookViewId="0">
      <pane ySplit="5" topLeftCell="A18" activePane="bottomLeft" state="frozen"/>
      <selection pane="bottomLeft" activeCell="X8" sqref="X8"/>
      <selection activeCell="A9" sqref="A9:B9"/>
    </sheetView>
  </sheetViews>
  <sheetFormatPr defaultColWidth="8.7109375" defaultRowHeight="14.45"/>
  <cols>
    <col min="1" max="1" width="51" style="58" customWidth="1"/>
    <col min="2" max="2" width="12.42578125" style="20" bestFit="1" customWidth="1"/>
    <col min="3" max="3" width="12.42578125" style="20" customWidth="1"/>
    <col min="4" max="4" width="9.5703125" style="20" bestFit="1" customWidth="1"/>
    <col min="5" max="5" width="9.7109375" style="20" bestFit="1" customWidth="1"/>
    <col min="6" max="6" width="0.140625" customWidth="1"/>
    <col min="7" max="7" width="24.85546875" style="62" bestFit="1" customWidth="1"/>
    <col min="8" max="8" width="1.7109375" style="62" customWidth="1"/>
    <col min="9" max="9" width="12.85546875" style="20" customWidth="1"/>
    <col min="10" max="10" width="14.7109375" style="20" bestFit="1" customWidth="1"/>
    <col min="11" max="11" width="6.140625" style="20" customWidth="1"/>
    <col min="12" max="12" width="11" style="20" bestFit="1" customWidth="1"/>
    <col min="13" max="13" width="17.85546875" style="20" customWidth="1"/>
    <col min="14" max="14" width="13.85546875" style="20" bestFit="1" customWidth="1"/>
    <col min="15" max="15" width="5.85546875" style="20" hidden="1" customWidth="1"/>
    <col min="16" max="16" width="6.42578125" hidden="1" customWidth="1"/>
    <col min="17" max="17" width="23.140625" style="62" bestFit="1" customWidth="1"/>
    <col min="18" max="18" width="1.85546875" style="20" customWidth="1"/>
    <col min="19" max="19" width="16" style="20" customWidth="1"/>
    <col min="20" max="20" width="32.5703125" style="20" customWidth="1"/>
    <col min="21" max="21" width="23.42578125" style="20" bestFit="1" customWidth="1"/>
    <col min="22" max="22" width="2.140625" style="20" customWidth="1"/>
    <col min="23" max="23" width="13.140625" style="55" customWidth="1"/>
    <col min="24" max="24" width="12.42578125" style="55" customWidth="1"/>
    <col min="25" max="25" width="30.85546875" style="20" customWidth="1"/>
    <col min="26" max="16384" width="8.7109375" style="20"/>
  </cols>
  <sheetData>
    <row r="1" spans="1:25" s="22" customFormat="1" ht="33" customHeight="1" thickBot="1">
      <c r="A1" s="180" t="s">
        <v>5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</row>
    <row r="2" spans="1:25" customFormat="1" ht="3.6" customHeight="1" thickTop="1">
      <c r="A2" s="57"/>
      <c r="G2" s="61"/>
      <c r="H2" s="61"/>
      <c r="Q2" s="61"/>
      <c r="W2" s="1"/>
      <c r="X2" s="1"/>
    </row>
    <row r="3" spans="1:25" s="26" customFormat="1" ht="25.5" customHeight="1">
      <c r="A3" s="72"/>
      <c r="B3" s="188" t="s">
        <v>6</v>
      </c>
      <c r="C3" s="188"/>
      <c r="D3" s="188"/>
      <c r="E3" s="188"/>
      <c r="F3" s="188"/>
      <c r="G3" s="188"/>
      <c r="I3" s="189" t="s">
        <v>7</v>
      </c>
      <c r="J3" s="189"/>
      <c r="K3" s="189"/>
      <c r="L3" s="189"/>
      <c r="M3" s="189"/>
      <c r="N3" s="189"/>
      <c r="O3" s="189"/>
      <c r="P3" s="189"/>
      <c r="Q3" s="189"/>
      <c r="S3" s="190" t="s">
        <v>8</v>
      </c>
      <c r="T3" s="191"/>
      <c r="U3" s="191"/>
      <c r="V3" s="191"/>
      <c r="W3" s="191"/>
      <c r="X3" s="191"/>
      <c r="Y3" s="191"/>
    </row>
    <row r="4" spans="1:25" s="31" customFormat="1" ht="67.5" customHeight="1">
      <c r="A4" s="56" t="s">
        <v>9</v>
      </c>
      <c r="B4" s="53" t="s">
        <v>10</v>
      </c>
      <c r="C4" s="35" t="s">
        <v>11</v>
      </c>
      <c r="D4" s="35" t="s">
        <v>12</v>
      </c>
      <c r="E4" s="35" t="s">
        <v>13</v>
      </c>
      <c r="F4" s="52"/>
      <c r="G4" s="182" t="s">
        <v>14</v>
      </c>
      <c r="H4"/>
      <c r="I4" s="35" t="s">
        <v>15</v>
      </c>
      <c r="J4" s="35" t="s">
        <v>16</v>
      </c>
      <c r="K4" s="35" t="s">
        <v>17</v>
      </c>
      <c r="L4" s="35" t="s">
        <v>18</v>
      </c>
      <c r="M4" s="35" t="s">
        <v>19</v>
      </c>
      <c r="N4" s="53" t="s">
        <v>20</v>
      </c>
      <c r="O4" s="35" t="s">
        <v>21</v>
      </c>
      <c r="P4" s="52"/>
      <c r="Q4" s="184" t="s">
        <v>22</v>
      </c>
      <c r="S4" s="195" t="s">
        <v>23</v>
      </c>
      <c r="T4" s="197" t="s">
        <v>24</v>
      </c>
      <c r="U4" s="186" t="s">
        <v>25</v>
      </c>
      <c r="W4" s="187" t="s">
        <v>26</v>
      </c>
      <c r="X4" s="192" t="s">
        <v>27</v>
      </c>
      <c r="Y4" s="193" t="s">
        <v>24</v>
      </c>
    </row>
    <row r="5" spans="1:25" ht="17.100000000000001" customHeight="1">
      <c r="A5" s="51" t="s">
        <v>28</v>
      </c>
      <c r="B5" s="54">
        <v>1</v>
      </c>
      <c r="C5" s="54">
        <v>1</v>
      </c>
      <c r="D5" s="54">
        <v>1</v>
      </c>
      <c r="E5" s="54">
        <v>1</v>
      </c>
      <c r="F5" s="25"/>
      <c r="G5" s="183"/>
      <c r="H5"/>
      <c r="I5" s="54">
        <v>1</v>
      </c>
      <c r="J5" s="54">
        <v>1</v>
      </c>
      <c r="K5" s="54">
        <v>1</v>
      </c>
      <c r="L5" s="54">
        <v>1</v>
      </c>
      <c r="M5" s="54">
        <v>1</v>
      </c>
      <c r="N5" s="54">
        <v>1</v>
      </c>
      <c r="O5" s="30">
        <v>0</v>
      </c>
      <c r="P5" s="25"/>
      <c r="Q5" s="185"/>
      <c r="S5" s="196"/>
      <c r="T5" s="198"/>
      <c r="U5" s="187"/>
      <c r="W5" s="187"/>
      <c r="X5" s="192"/>
      <c r="Y5" s="194"/>
    </row>
    <row r="6" spans="1:25" ht="33.75" customHeight="1">
      <c r="A6" s="67" t="s">
        <v>29</v>
      </c>
      <c r="B6" s="59">
        <f>'DF1'!D22</f>
        <v>5</v>
      </c>
      <c r="C6" s="59">
        <f>'DF2'!D31</f>
        <v>-10</v>
      </c>
      <c r="D6" s="59">
        <f>'DF3'!D35</f>
        <v>-15</v>
      </c>
      <c r="E6" s="59">
        <f>'DF4'!D31</f>
        <v>0</v>
      </c>
      <c r="F6" s="60">
        <f t="shared" ref="F6:F45" si="0">SUMPRODUCT(B$5:E$5,B6:E6)</f>
        <v>-20</v>
      </c>
      <c r="G6" s="65">
        <f>IFERROR(IF(F6&gt;=0,MROUND(TRUNC(100*SUMPRODUCT(B$5:E$5,B6:E6)/MAX(F$50:F$51)),5),MROUND(TRUNC(100*SUMPRODUCT(B$5:E$5,B6:E6)/MAX(F$50:F$51)),-5)),0)</f>
        <v>-20</v>
      </c>
      <c r="H6"/>
      <c r="I6" s="59">
        <f>'DF5'!D30</f>
        <v>-30</v>
      </c>
      <c r="J6" s="59">
        <f>'DF6'!D30</f>
        <v>40</v>
      </c>
      <c r="K6" s="59">
        <f>'DF7'!D32</f>
        <v>-25</v>
      </c>
      <c r="L6" s="59">
        <f>'DF8'!D32</f>
        <v>0</v>
      </c>
      <c r="M6" s="59">
        <f>'DF9'!D28</f>
        <v>0</v>
      </c>
      <c r="N6" s="59">
        <f>'DF10'!D22</f>
        <v>0</v>
      </c>
      <c r="O6" s="59">
        <v>0</v>
      </c>
      <c r="P6" s="21">
        <f t="shared" ref="P6:P45" si="1">SUMPRODUCT(B$5:E$5,B6:E6)+SUMPRODUCT(I$5:N$5,I6:N6)</f>
        <v>-35</v>
      </c>
      <c r="Q6" s="64">
        <f>IFERROR(IF(P6&gt;0,MROUND(TRUNC(100*SUMPRODUCT(B$5:N$5,B6:N6)/MAX(P$50:P$51)),5),MROUND(TRUNC(100*SUMPRODUCT(B$5:N$5,B6:N6)/MAX(P$50:P$51)),-5)),0)</f>
        <v>-30</v>
      </c>
      <c r="S6" s="73"/>
      <c r="T6" s="74"/>
      <c r="U6" s="66">
        <f>Q6+S6</f>
        <v>-30</v>
      </c>
      <c r="W6" s="69">
        <f>IF(U6&gt;=75,4,IF(U6&gt;=50,3,IF(U6&gt;=25,2,1)))</f>
        <v>1</v>
      </c>
      <c r="X6" s="75">
        <f>W6</f>
        <v>1</v>
      </c>
      <c r="Y6" s="76"/>
    </row>
    <row r="7" spans="1:25" ht="27.6" customHeight="1">
      <c r="A7" s="67" t="s">
        <v>30</v>
      </c>
      <c r="B7" s="59">
        <f>'DF1'!D23</f>
        <v>20</v>
      </c>
      <c r="C7" s="59">
        <f>'DF2'!D32</f>
        <v>-25</v>
      </c>
      <c r="D7" s="59">
        <f>'DF3'!D36</f>
        <v>5</v>
      </c>
      <c r="E7" s="59">
        <f>'DF4'!D32</f>
        <v>-5</v>
      </c>
      <c r="F7" s="60">
        <f t="shared" si="0"/>
        <v>-5</v>
      </c>
      <c r="G7" s="65">
        <f t="shared" ref="G7:G45" si="2">IFERROR(IF(F7&gt;=0,MROUND(TRUNC(100*SUMPRODUCT(B$5:E$5,B7:E7)/MAX(F$50:F$51)),5),MROUND(TRUNC(100*SUMPRODUCT(B$5:E$5,B7:E7)/MAX(F$50:F$51)),-5)),0)</f>
        <v>-5</v>
      </c>
      <c r="H7"/>
      <c r="I7" s="59">
        <f>'DF5'!D31</f>
        <v>0</v>
      </c>
      <c r="J7" s="59">
        <f>'DF6'!D31</f>
        <v>0</v>
      </c>
      <c r="K7" s="59">
        <f>'DF7'!D33</f>
        <v>-25</v>
      </c>
      <c r="L7" s="59">
        <f>'DF8'!D33</f>
        <v>0</v>
      </c>
      <c r="M7" s="59">
        <f>'DF9'!D29</f>
        <v>0</v>
      </c>
      <c r="N7" s="59">
        <f>'DF10'!D23</f>
        <v>0</v>
      </c>
      <c r="O7" s="59">
        <v>0</v>
      </c>
      <c r="P7" s="21">
        <f t="shared" si="1"/>
        <v>-30</v>
      </c>
      <c r="Q7" s="64">
        <f t="shared" ref="Q7:Q45" si="3">IFERROR(IF(P7&gt;0,MROUND(TRUNC(100*SUMPRODUCT(B$5:N$5,B7:N7)/MAX(P$50:P$51)),5),MROUND(TRUNC(100*SUMPRODUCT(B$5:N$5,B7:N7)/MAX(P$50:P$51)),-5)),0)</f>
        <v>-25</v>
      </c>
      <c r="S7" s="73"/>
      <c r="T7" s="74"/>
      <c r="U7" s="66">
        <f t="shared" ref="U7:U45" si="4">Q7+S7</f>
        <v>-25</v>
      </c>
      <c r="W7" s="70">
        <f t="shared" ref="W7:W45" si="5">IF(U7&gt;=75,4,IF(U7&gt;=50,3,IF(U7&gt;=25,2,1)))</f>
        <v>1</v>
      </c>
      <c r="X7" s="75">
        <f t="shared" ref="X7:X45" si="6">W7</f>
        <v>1</v>
      </c>
      <c r="Y7" s="76"/>
    </row>
    <row r="8" spans="1:25" ht="27.6" customHeight="1">
      <c r="A8" s="67" t="s">
        <v>31</v>
      </c>
      <c r="B8" s="59">
        <f>'DF1'!D24</f>
        <v>15</v>
      </c>
      <c r="C8" s="59">
        <f>'DF2'!D33</f>
        <v>20</v>
      </c>
      <c r="D8" s="59">
        <f>'DF3'!D37</f>
        <v>5</v>
      </c>
      <c r="E8" s="59">
        <f>'DF4'!D33</f>
        <v>5</v>
      </c>
      <c r="F8" s="60">
        <f t="shared" si="0"/>
        <v>45</v>
      </c>
      <c r="G8" s="65">
        <f t="shared" si="2"/>
        <v>45</v>
      </c>
      <c r="H8"/>
      <c r="I8" s="59">
        <f>'DF5'!D32</f>
        <v>-35</v>
      </c>
      <c r="J8" s="59">
        <f>'DF6'!D32</f>
        <v>80</v>
      </c>
      <c r="K8" s="59">
        <f>'DF7'!D34</f>
        <v>-25</v>
      </c>
      <c r="L8" s="59">
        <f>'DF8'!D34</f>
        <v>-15</v>
      </c>
      <c r="M8" s="59">
        <f>'DF9'!D30</f>
        <v>0</v>
      </c>
      <c r="N8" s="59">
        <f>'DF10'!D24</f>
        <v>0</v>
      </c>
      <c r="O8" s="59">
        <v>0</v>
      </c>
      <c r="P8" s="21">
        <f t="shared" si="1"/>
        <v>50</v>
      </c>
      <c r="Q8" s="64">
        <f t="shared" si="3"/>
        <v>40</v>
      </c>
      <c r="S8" s="73"/>
      <c r="T8" s="74"/>
      <c r="U8" s="66">
        <f t="shared" si="4"/>
        <v>40</v>
      </c>
      <c r="W8" s="70">
        <f t="shared" si="5"/>
        <v>2</v>
      </c>
      <c r="X8" s="75">
        <f t="shared" si="6"/>
        <v>2</v>
      </c>
      <c r="Y8" s="76"/>
    </row>
    <row r="9" spans="1:25" ht="27.6" customHeight="1">
      <c r="A9" s="67" t="s">
        <v>32</v>
      </c>
      <c r="B9" s="59">
        <f>'DF1'!D25</f>
        <v>0</v>
      </c>
      <c r="C9" s="59">
        <f>'DF2'!D34</f>
        <v>-25</v>
      </c>
      <c r="D9" s="59">
        <f>'DF3'!D38</f>
        <v>-15</v>
      </c>
      <c r="E9" s="59">
        <f>'DF4'!D34</f>
        <v>-5</v>
      </c>
      <c r="F9" s="60">
        <f t="shared" si="0"/>
        <v>-45</v>
      </c>
      <c r="G9" s="65">
        <f t="shared" si="2"/>
        <v>-45</v>
      </c>
      <c r="H9"/>
      <c r="I9" s="59">
        <f>'DF5'!D33</f>
        <v>0</v>
      </c>
      <c r="J9" s="59">
        <f>'DF6'!D33</f>
        <v>0</v>
      </c>
      <c r="K9" s="59">
        <f>'DF7'!D35</f>
        <v>-10</v>
      </c>
      <c r="L9" s="59">
        <f>'DF8'!D35</f>
        <v>0</v>
      </c>
      <c r="M9" s="59">
        <f>'DF9'!D31</f>
        <v>0</v>
      </c>
      <c r="N9" s="59">
        <f>'DF10'!D25</f>
        <v>0</v>
      </c>
      <c r="O9" s="59">
        <v>0</v>
      </c>
      <c r="P9" s="21">
        <f t="shared" si="1"/>
        <v>-55</v>
      </c>
      <c r="Q9" s="64">
        <f t="shared" si="3"/>
        <v>-45</v>
      </c>
      <c r="S9" s="73"/>
      <c r="T9" s="74"/>
      <c r="U9" s="66">
        <f t="shared" si="4"/>
        <v>-45</v>
      </c>
      <c r="W9" s="70">
        <f t="shared" si="5"/>
        <v>1</v>
      </c>
      <c r="X9" s="75">
        <f t="shared" si="6"/>
        <v>1</v>
      </c>
      <c r="Y9" s="76"/>
    </row>
    <row r="10" spans="1:25" ht="27.6" customHeight="1">
      <c r="A10" s="67" t="s">
        <v>33</v>
      </c>
      <c r="B10" s="59">
        <f>'DF1'!D26</f>
        <v>5</v>
      </c>
      <c r="C10" s="59">
        <f>'DF2'!D35</f>
        <v>15</v>
      </c>
      <c r="D10" s="59">
        <f>'DF3'!D39</f>
        <v>-20</v>
      </c>
      <c r="E10" s="59">
        <f>'DF4'!D35</f>
        <v>-5</v>
      </c>
      <c r="F10" s="60">
        <f t="shared" si="0"/>
        <v>-5</v>
      </c>
      <c r="G10" s="65">
        <f t="shared" si="2"/>
        <v>-5</v>
      </c>
      <c r="H10"/>
      <c r="I10" s="59">
        <f>'DF5'!D34</f>
        <v>-15</v>
      </c>
      <c r="J10" s="59">
        <f>'DF6'!D34</f>
        <v>40</v>
      </c>
      <c r="K10" s="59">
        <f>'DF7'!D36</f>
        <v>-10</v>
      </c>
      <c r="L10" s="59">
        <f>'DF8'!D36</f>
        <v>0</v>
      </c>
      <c r="M10" s="59">
        <f>'DF9'!D32</f>
        <v>0</v>
      </c>
      <c r="N10" s="59">
        <f>'DF10'!D26</f>
        <v>0</v>
      </c>
      <c r="O10" s="59">
        <v>0</v>
      </c>
      <c r="P10" s="21">
        <f t="shared" si="1"/>
        <v>10</v>
      </c>
      <c r="Q10" s="64">
        <f t="shared" si="3"/>
        <v>10</v>
      </c>
      <c r="S10" s="73"/>
      <c r="T10" s="74"/>
      <c r="U10" s="66">
        <f t="shared" si="4"/>
        <v>10</v>
      </c>
      <c r="W10" s="70">
        <f t="shared" si="5"/>
        <v>1</v>
      </c>
      <c r="X10" s="75">
        <f t="shared" si="6"/>
        <v>1</v>
      </c>
      <c r="Y10" s="76"/>
    </row>
    <row r="11" spans="1:25" ht="27.6" customHeight="1">
      <c r="A11" s="68" t="s">
        <v>34</v>
      </c>
      <c r="B11" s="59">
        <f>'DF1'!D27</f>
        <v>0</v>
      </c>
      <c r="C11" s="59">
        <f>'DF2'!D36</f>
        <v>-5</v>
      </c>
      <c r="D11" s="59">
        <f>'DF3'!D40</f>
        <v>10</v>
      </c>
      <c r="E11" s="59">
        <f>'DF4'!D36</f>
        <v>0</v>
      </c>
      <c r="F11" s="60">
        <f t="shared" si="0"/>
        <v>5</v>
      </c>
      <c r="G11" s="65">
        <f t="shared" si="2"/>
        <v>5</v>
      </c>
      <c r="H11"/>
      <c r="I11" s="59">
        <f>'DF5'!D35</f>
        <v>-30</v>
      </c>
      <c r="J11" s="59">
        <f>'DF6'!D35</f>
        <v>25</v>
      </c>
      <c r="K11" s="59">
        <f>'DF7'!D37</f>
        <v>-20</v>
      </c>
      <c r="L11" s="59">
        <f>'DF8'!D37</f>
        <v>0</v>
      </c>
      <c r="M11" s="59">
        <f>'DF9'!D33</f>
        <v>0</v>
      </c>
      <c r="N11" s="59">
        <f>'DF10'!D27</f>
        <v>0</v>
      </c>
      <c r="O11" s="59">
        <v>0</v>
      </c>
      <c r="P11" s="21">
        <f t="shared" si="1"/>
        <v>-20</v>
      </c>
      <c r="Q11" s="64">
        <f t="shared" si="3"/>
        <v>-15</v>
      </c>
      <c r="S11" s="73"/>
      <c r="T11" s="74"/>
      <c r="U11" s="66">
        <f t="shared" si="4"/>
        <v>-15</v>
      </c>
      <c r="W11" s="70">
        <f t="shared" si="5"/>
        <v>1</v>
      </c>
      <c r="X11" s="75">
        <f t="shared" si="6"/>
        <v>1</v>
      </c>
      <c r="Y11" s="76"/>
    </row>
    <row r="12" spans="1:25" ht="27.6" customHeight="1">
      <c r="A12" s="68" t="s">
        <v>35</v>
      </c>
      <c r="B12" s="59">
        <f>'DF1'!D28</f>
        <v>-20</v>
      </c>
      <c r="C12" s="59">
        <f>'DF2'!D37</f>
        <v>-25</v>
      </c>
      <c r="D12" s="59">
        <f>'DF3'!D41</f>
        <v>-5</v>
      </c>
      <c r="E12" s="59">
        <f>'DF4'!D37</f>
        <v>-5</v>
      </c>
      <c r="F12" s="60">
        <f t="shared" si="0"/>
        <v>-55</v>
      </c>
      <c r="G12" s="65">
        <f t="shared" si="2"/>
        <v>-55</v>
      </c>
      <c r="H12"/>
      <c r="I12" s="59">
        <f>'DF5'!D36</f>
        <v>0</v>
      </c>
      <c r="J12" s="59">
        <f>'DF6'!D36</f>
        <v>0</v>
      </c>
      <c r="K12" s="59">
        <f>'DF7'!D38</f>
        <v>-25</v>
      </c>
      <c r="L12" s="59">
        <f>'DF8'!D38</f>
        <v>0</v>
      </c>
      <c r="M12" s="59">
        <f>'DF9'!D34</f>
        <v>0</v>
      </c>
      <c r="N12" s="59">
        <f>'DF10'!D28</f>
        <v>0</v>
      </c>
      <c r="O12" s="59">
        <v>0</v>
      </c>
      <c r="P12" s="21">
        <f t="shared" si="1"/>
        <v>-80</v>
      </c>
      <c r="Q12" s="64">
        <f t="shared" si="3"/>
        <v>-65</v>
      </c>
      <c r="S12" s="73"/>
      <c r="T12" s="74"/>
      <c r="U12" s="66">
        <f t="shared" si="4"/>
        <v>-65</v>
      </c>
      <c r="W12" s="70">
        <f t="shared" si="5"/>
        <v>1</v>
      </c>
      <c r="X12" s="75">
        <f t="shared" si="6"/>
        <v>1</v>
      </c>
      <c r="Y12" s="76"/>
    </row>
    <row r="13" spans="1:25" ht="27.6" customHeight="1">
      <c r="A13" s="68" t="s">
        <v>36</v>
      </c>
      <c r="B13" s="59">
        <f>'DF1'!D29</f>
        <v>-15</v>
      </c>
      <c r="C13" s="59">
        <f>'DF2'!D38</f>
        <v>-20</v>
      </c>
      <c r="D13" s="59">
        <f>'DF3'!D42</f>
        <v>20</v>
      </c>
      <c r="E13" s="59">
        <f>'DF4'!D38</f>
        <v>5</v>
      </c>
      <c r="F13" s="60">
        <f t="shared" si="0"/>
        <v>-10</v>
      </c>
      <c r="G13" s="65">
        <f t="shared" si="2"/>
        <v>-10</v>
      </c>
      <c r="H13"/>
      <c r="I13" s="59">
        <f>'DF5'!D37</f>
        <v>-30</v>
      </c>
      <c r="J13" s="59">
        <f>'DF6'!D37</f>
        <v>0</v>
      </c>
      <c r="K13" s="59">
        <f>'DF7'!D39</f>
        <v>-15</v>
      </c>
      <c r="L13" s="59">
        <f>'DF8'!D39</f>
        <v>0</v>
      </c>
      <c r="M13" s="59">
        <f>'DF9'!D35</f>
        <v>0</v>
      </c>
      <c r="N13" s="59">
        <f>'DF10'!D29</f>
        <v>-5</v>
      </c>
      <c r="O13" s="59">
        <v>0</v>
      </c>
      <c r="P13" s="21">
        <f t="shared" si="1"/>
        <v>-60</v>
      </c>
      <c r="Q13" s="64">
        <f t="shared" si="3"/>
        <v>-50</v>
      </c>
      <c r="S13" s="73"/>
      <c r="T13" s="74"/>
      <c r="U13" s="66">
        <f t="shared" si="4"/>
        <v>-50</v>
      </c>
      <c r="W13" s="70">
        <f t="shared" si="5"/>
        <v>1</v>
      </c>
      <c r="X13" s="75">
        <f t="shared" si="6"/>
        <v>1</v>
      </c>
      <c r="Y13" s="76"/>
    </row>
    <row r="14" spans="1:25" ht="27.6" customHeight="1">
      <c r="A14" s="68" t="s">
        <v>37</v>
      </c>
      <c r="B14" s="59">
        <f>'DF1'!D30</f>
        <v>-15</v>
      </c>
      <c r="C14" s="59">
        <f>'DF2'!D39</f>
        <v>-30</v>
      </c>
      <c r="D14" s="59">
        <f>'DF3'!D43</f>
        <v>-20</v>
      </c>
      <c r="E14" s="59">
        <f>'DF4'!D39</f>
        <v>-10</v>
      </c>
      <c r="F14" s="60">
        <f t="shared" si="0"/>
        <v>-75</v>
      </c>
      <c r="G14" s="65">
        <f t="shared" si="2"/>
        <v>-75</v>
      </c>
      <c r="H14"/>
      <c r="I14" s="59">
        <f>'DF5'!D38</f>
        <v>0</v>
      </c>
      <c r="J14" s="59">
        <f>'DF6'!D38</f>
        <v>0</v>
      </c>
      <c r="K14" s="59">
        <f>'DF7'!D40</f>
        <v>-40</v>
      </c>
      <c r="L14" s="59">
        <f>'DF8'!D40</f>
        <v>0</v>
      </c>
      <c r="M14" s="59">
        <f>'DF9'!D36</f>
        <v>0</v>
      </c>
      <c r="N14" s="59">
        <f>'DF10'!D30</f>
        <v>0</v>
      </c>
      <c r="O14" s="59">
        <v>0</v>
      </c>
      <c r="P14" s="21">
        <f t="shared" si="1"/>
        <v>-115</v>
      </c>
      <c r="Q14" s="64">
        <f t="shared" si="3"/>
        <v>-90</v>
      </c>
      <c r="S14" s="73"/>
      <c r="T14" s="74"/>
      <c r="U14" s="66">
        <f t="shared" si="4"/>
        <v>-90</v>
      </c>
      <c r="W14" s="70">
        <f t="shared" si="5"/>
        <v>1</v>
      </c>
      <c r="X14" s="75">
        <f t="shared" si="6"/>
        <v>1</v>
      </c>
      <c r="Y14" s="76"/>
    </row>
    <row r="15" spans="1:25" ht="27.6" customHeight="1">
      <c r="A15" s="68" t="s">
        <v>38</v>
      </c>
      <c r="B15" s="59">
        <f>'DF1'!D31</f>
        <v>-15</v>
      </c>
      <c r="C15" s="59">
        <f>'DF2'!D40</f>
        <v>-25</v>
      </c>
      <c r="D15" s="59">
        <f>'DF3'!D44</f>
        <v>-10</v>
      </c>
      <c r="E15" s="59">
        <f>'DF4'!D40</f>
        <v>0</v>
      </c>
      <c r="F15" s="60">
        <f t="shared" si="0"/>
        <v>-50</v>
      </c>
      <c r="G15" s="65">
        <f t="shared" si="2"/>
        <v>-50</v>
      </c>
      <c r="H15"/>
      <c r="I15" s="59">
        <f>'DF5'!D39</f>
        <v>0</v>
      </c>
      <c r="J15" s="59">
        <f>'DF6'!D39</f>
        <v>0</v>
      </c>
      <c r="K15" s="59">
        <f>'DF7'!D41</f>
        <v>-25</v>
      </c>
      <c r="L15" s="59">
        <f>'DF8'!D41</f>
        <v>0</v>
      </c>
      <c r="M15" s="59">
        <f>'DF9'!D37</f>
        <v>0</v>
      </c>
      <c r="N15" s="59">
        <f>'DF10'!D31</f>
        <v>0</v>
      </c>
      <c r="O15" s="59">
        <v>0</v>
      </c>
      <c r="P15" s="21">
        <f t="shared" si="1"/>
        <v>-75</v>
      </c>
      <c r="Q15" s="64">
        <f t="shared" si="3"/>
        <v>-60</v>
      </c>
      <c r="S15" s="73"/>
      <c r="T15" s="74"/>
      <c r="U15" s="66">
        <f t="shared" si="4"/>
        <v>-60</v>
      </c>
      <c r="W15" s="70">
        <f t="shared" si="5"/>
        <v>1</v>
      </c>
      <c r="X15" s="75">
        <f t="shared" si="6"/>
        <v>1</v>
      </c>
      <c r="Y15" s="76"/>
    </row>
    <row r="16" spans="1:25" ht="27.6" customHeight="1">
      <c r="A16" s="68" t="s">
        <v>39</v>
      </c>
      <c r="B16" s="59">
        <f>'DF1'!D32</f>
        <v>0</v>
      </c>
      <c r="C16" s="59">
        <f>'DF2'!D41</f>
        <v>-5</v>
      </c>
      <c r="D16" s="59">
        <f>'DF3'!D45</f>
        <v>-40</v>
      </c>
      <c r="E16" s="59">
        <f>'DF4'!D41</f>
        <v>0</v>
      </c>
      <c r="F16" s="60">
        <f t="shared" si="0"/>
        <v>-45</v>
      </c>
      <c r="G16" s="65">
        <f t="shared" si="2"/>
        <v>-45</v>
      </c>
      <c r="H16"/>
      <c r="I16" s="59">
        <f>'DF5'!D40</f>
        <v>0</v>
      </c>
      <c r="J16" s="59">
        <f>'DF6'!D40</f>
        <v>0</v>
      </c>
      <c r="K16" s="59">
        <f>'DF7'!D42</f>
        <v>-10</v>
      </c>
      <c r="L16" s="59">
        <f>'DF8'!D42</f>
        <v>0</v>
      </c>
      <c r="M16" s="59">
        <f>'DF9'!D38</f>
        <v>0</v>
      </c>
      <c r="N16" s="59">
        <f>'DF10'!D32</f>
        <v>5</v>
      </c>
      <c r="O16" s="59">
        <v>0</v>
      </c>
      <c r="P16" s="21">
        <f t="shared" si="1"/>
        <v>-50</v>
      </c>
      <c r="Q16" s="64">
        <f t="shared" si="3"/>
        <v>-40</v>
      </c>
      <c r="S16" s="73"/>
      <c r="T16" s="74"/>
      <c r="U16" s="66">
        <f t="shared" si="4"/>
        <v>-40</v>
      </c>
      <c r="W16" s="70">
        <f t="shared" si="5"/>
        <v>1</v>
      </c>
      <c r="X16" s="75">
        <f t="shared" si="6"/>
        <v>1</v>
      </c>
      <c r="Y16" s="76"/>
    </row>
    <row r="17" spans="1:25" ht="27.6" customHeight="1">
      <c r="A17" s="68" t="s">
        <v>40</v>
      </c>
      <c r="B17" s="59">
        <f>'DF1'!D33</f>
        <v>-5</v>
      </c>
      <c r="C17" s="59">
        <f>'DF2'!D42</f>
        <v>-20</v>
      </c>
      <c r="D17" s="59">
        <f>'DF3'!D46</f>
        <v>0</v>
      </c>
      <c r="E17" s="59">
        <f>'DF4'!D42</f>
        <v>5</v>
      </c>
      <c r="F17" s="60">
        <f t="shared" si="0"/>
        <v>-20</v>
      </c>
      <c r="G17" s="65">
        <f t="shared" si="2"/>
        <v>-20</v>
      </c>
      <c r="H17"/>
      <c r="I17" s="59">
        <f>'DF5'!D41</f>
        <v>-15</v>
      </c>
      <c r="J17" s="59">
        <f>'DF6'!D41</f>
        <v>0</v>
      </c>
      <c r="K17" s="59">
        <f>'DF7'!D43</f>
        <v>-5</v>
      </c>
      <c r="L17" s="59">
        <f>'DF8'!D43</f>
        <v>0</v>
      </c>
      <c r="M17" s="59">
        <f>'DF9'!D39</f>
        <v>0</v>
      </c>
      <c r="N17" s="59">
        <f>'DF10'!D33</f>
        <v>-5</v>
      </c>
      <c r="O17" s="59">
        <v>0</v>
      </c>
      <c r="P17" s="21">
        <f t="shared" si="1"/>
        <v>-45</v>
      </c>
      <c r="Q17" s="64">
        <f t="shared" si="3"/>
        <v>-35</v>
      </c>
      <c r="S17" s="73"/>
      <c r="T17" s="74"/>
      <c r="U17" s="66">
        <f t="shared" si="4"/>
        <v>-35</v>
      </c>
      <c r="W17" s="70">
        <f t="shared" si="5"/>
        <v>1</v>
      </c>
      <c r="X17" s="75">
        <f t="shared" si="6"/>
        <v>1</v>
      </c>
      <c r="Y17" s="76"/>
    </row>
    <row r="18" spans="1:25" ht="27.6" customHeight="1">
      <c r="A18" s="68" t="s">
        <v>41</v>
      </c>
      <c r="B18" s="59">
        <f>'DF1'!D34</f>
        <v>20</v>
      </c>
      <c r="C18" s="59">
        <f>'DF2'!D43</f>
        <v>-25</v>
      </c>
      <c r="D18" s="59">
        <f>'DF3'!D47</f>
        <v>15</v>
      </c>
      <c r="E18" s="59">
        <f>'DF4'!D43</f>
        <v>0</v>
      </c>
      <c r="F18" s="60">
        <f t="shared" si="0"/>
        <v>10</v>
      </c>
      <c r="G18" s="65">
        <f t="shared" si="2"/>
        <v>10</v>
      </c>
      <c r="H18"/>
      <c r="I18" s="59">
        <f>'DF5'!D42</f>
        <v>0</v>
      </c>
      <c r="J18" s="59">
        <f>'DF6'!D42</f>
        <v>0</v>
      </c>
      <c r="K18" s="59">
        <f>'DF7'!D44</f>
        <v>-20</v>
      </c>
      <c r="L18" s="59">
        <f>'DF8'!D44</f>
        <v>0</v>
      </c>
      <c r="M18" s="59">
        <f>'DF9'!D40</f>
        <v>0</v>
      </c>
      <c r="N18" s="59">
        <f>'DF10'!D34</f>
        <v>-5</v>
      </c>
      <c r="O18" s="59">
        <v>0</v>
      </c>
      <c r="P18" s="21">
        <f t="shared" si="1"/>
        <v>-15</v>
      </c>
      <c r="Q18" s="64">
        <f t="shared" si="3"/>
        <v>-10</v>
      </c>
      <c r="S18" s="73"/>
      <c r="T18" s="74"/>
      <c r="U18" s="66">
        <f t="shared" si="4"/>
        <v>-10</v>
      </c>
      <c r="W18" s="70">
        <f t="shared" si="5"/>
        <v>1</v>
      </c>
      <c r="X18" s="75">
        <f t="shared" si="6"/>
        <v>1</v>
      </c>
      <c r="Y18" s="76"/>
    </row>
    <row r="19" spans="1:25" ht="27.6" customHeight="1">
      <c r="A19" s="68" t="s">
        <v>42</v>
      </c>
      <c r="B19" s="59">
        <f>'DF1'!D35</f>
        <v>25</v>
      </c>
      <c r="C19" s="59">
        <f>'DF2'!D44</f>
        <v>-20</v>
      </c>
      <c r="D19" s="59">
        <f>'DF3'!D48</f>
        <v>0</v>
      </c>
      <c r="E19" s="59">
        <f>'DF4'!D44</f>
        <v>5</v>
      </c>
      <c r="F19" s="60">
        <f t="shared" si="0"/>
        <v>10</v>
      </c>
      <c r="G19" s="65">
        <f t="shared" si="2"/>
        <v>10</v>
      </c>
      <c r="H19"/>
      <c r="I19" s="59">
        <f>'DF5'!D43</f>
        <v>-15</v>
      </c>
      <c r="J19" s="59">
        <f>'DF6'!D43</f>
        <v>0</v>
      </c>
      <c r="K19" s="59">
        <f>'DF7'!D45</f>
        <v>-20</v>
      </c>
      <c r="L19" s="59">
        <f>'DF8'!D45</f>
        <v>-35</v>
      </c>
      <c r="M19" s="59">
        <f>'DF9'!D41</f>
        <v>0</v>
      </c>
      <c r="N19" s="59">
        <f>'DF10'!D35</f>
        <v>0</v>
      </c>
      <c r="O19" s="59">
        <v>0</v>
      </c>
      <c r="P19" s="21">
        <f t="shared" si="1"/>
        <v>-60</v>
      </c>
      <c r="Q19" s="64">
        <f t="shared" si="3"/>
        <v>-50</v>
      </c>
      <c r="S19" s="73"/>
      <c r="T19" s="74"/>
      <c r="U19" s="66">
        <f t="shared" si="4"/>
        <v>-50</v>
      </c>
      <c r="W19" s="70">
        <f t="shared" si="5"/>
        <v>1</v>
      </c>
      <c r="X19" s="75">
        <f t="shared" si="6"/>
        <v>1</v>
      </c>
      <c r="Y19" s="76"/>
    </row>
    <row r="20" spans="1:25" ht="27.6" customHeight="1">
      <c r="A20" s="68" t="s">
        <v>43</v>
      </c>
      <c r="B20" s="59">
        <f>'DF1'!D36</f>
        <v>5</v>
      </c>
      <c r="C20" s="59">
        <f>'DF2'!D45</f>
        <v>-25</v>
      </c>
      <c r="D20" s="59">
        <f>'DF3'!D49</f>
        <v>-10</v>
      </c>
      <c r="E20" s="59">
        <f>'DF4'!D45</f>
        <v>5</v>
      </c>
      <c r="F20" s="60">
        <f t="shared" si="0"/>
        <v>-25</v>
      </c>
      <c r="G20" s="65">
        <f t="shared" si="2"/>
        <v>-25</v>
      </c>
      <c r="H20"/>
      <c r="I20" s="59">
        <f>'DF5'!D44</f>
        <v>-30</v>
      </c>
      <c r="J20" s="59">
        <f>'DF6'!D44</f>
        <v>40</v>
      </c>
      <c r="K20" s="59">
        <f>'DF7'!D46</f>
        <v>-20</v>
      </c>
      <c r="L20" s="59">
        <f>'DF8'!D46</f>
        <v>-35</v>
      </c>
      <c r="M20" s="59">
        <f>'DF9'!D42</f>
        <v>0</v>
      </c>
      <c r="N20" s="59">
        <f>'DF10'!D36</f>
        <v>0</v>
      </c>
      <c r="O20" s="59">
        <v>0</v>
      </c>
      <c r="P20" s="21">
        <f t="shared" si="1"/>
        <v>-70</v>
      </c>
      <c r="Q20" s="64">
        <f t="shared" si="3"/>
        <v>-55</v>
      </c>
      <c r="S20" s="73"/>
      <c r="T20" s="74"/>
      <c r="U20" s="66">
        <f t="shared" si="4"/>
        <v>-55</v>
      </c>
      <c r="W20" s="70">
        <f t="shared" si="5"/>
        <v>1</v>
      </c>
      <c r="X20" s="75">
        <f t="shared" si="6"/>
        <v>1</v>
      </c>
      <c r="Y20" s="76"/>
    </row>
    <row r="21" spans="1:25" ht="27.6" customHeight="1">
      <c r="A21" s="68" t="s">
        <v>44</v>
      </c>
      <c r="B21" s="59">
        <f>'DF1'!D37</f>
        <v>30</v>
      </c>
      <c r="C21" s="59">
        <f>'DF2'!D46</f>
        <v>-10</v>
      </c>
      <c r="D21" s="59">
        <f>'DF3'!D50</f>
        <v>20</v>
      </c>
      <c r="E21" s="59">
        <f>'DF4'!D46</f>
        <v>5</v>
      </c>
      <c r="F21" s="60">
        <f t="shared" si="0"/>
        <v>45</v>
      </c>
      <c r="G21" s="65">
        <f t="shared" si="2"/>
        <v>45</v>
      </c>
      <c r="H21"/>
      <c r="I21" s="59">
        <f>'DF5'!D45</f>
        <v>-15</v>
      </c>
      <c r="J21" s="59">
        <f>'DF6'!D45</f>
        <v>0</v>
      </c>
      <c r="K21" s="59">
        <f>'DF7'!D47</f>
        <v>-15</v>
      </c>
      <c r="L21" s="59">
        <f>'DF8'!D47</f>
        <v>0</v>
      </c>
      <c r="M21" s="59">
        <f>'DF9'!D43</f>
        <v>0</v>
      </c>
      <c r="N21" s="59">
        <f>'DF10'!D37</f>
        <v>0</v>
      </c>
      <c r="O21" s="59">
        <v>0</v>
      </c>
      <c r="P21" s="21">
        <f t="shared" si="1"/>
        <v>15</v>
      </c>
      <c r="Q21" s="64">
        <f t="shared" si="3"/>
        <v>10</v>
      </c>
      <c r="S21" s="73"/>
      <c r="T21" s="74"/>
      <c r="U21" s="66">
        <f t="shared" si="4"/>
        <v>10</v>
      </c>
      <c r="W21" s="70">
        <f t="shared" si="5"/>
        <v>1</v>
      </c>
      <c r="X21" s="75">
        <f t="shared" si="6"/>
        <v>1</v>
      </c>
      <c r="Y21" s="76"/>
    </row>
    <row r="22" spans="1:25" ht="27.6" customHeight="1">
      <c r="A22" s="68" t="s">
        <v>45</v>
      </c>
      <c r="B22" s="59">
        <f>'DF1'!D38</f>
        <v>15</v>
      </c>
      <c r="C22" s="59">
        <f>'DF2'!D47</f>
        <v>20</v>
      </c>
      <c r="D22" s="59">
        <f>'DF3'!D51</f>
        <v>45</v>
      </c>
      <c r="E22" s="59">
        <f>'DF4'!D47</f>
        <v>5</v>
      </c>
      <c r="F22" s="60">
        <f t="shared" si="0"/>
        <v>85</v>
      </c>
      <c r="G22" s="65">
        <f t="shared" si="2"/>
        <v>85</v>
      </c>
      <c r="H22"/>
      <c r="I22" s="59">
        <f>'DF5'!D46</f>
        <v>-35</v>
      </c>
      <c r="J22" s="59">
        <f>'DF6'!D46</f>
        <v>80</v>
      </c>
      <c r="K22" s="59">
        <f>'DF7'!D48</f>
        <v>-25</v>
      </c>
      <c r="L22" s="59">
        <f>'DF8'!D48</f>
        <v>-20</v>
      </c>
      <c r="M22" s="59">
        <f>'DF9'!D44</f>
        <v>0</v>
      </c>
      <c r="N22" s="59">
        <f>'DF10'!D38</f>
        <v>0</v>
      </c>
      <c r="O22" s="59">
        <v>0</v>
      </c>
      <c r="P22" s="21">
        <f t="shared" si="1"/>
        <v>85</v>
      </c>
      <c r="Q22" s="64">
        <f t="shared" si="3"/>
        <v>70</v>
      </c>
      <c r="S22" s="73"/>
      <c r="T22" s="74"/>
      <c r="U22" s="66">
        <f t="shared" si="4"/>
        <v>70</v>
      </c>
      <c r="W22" s="70">
        <f t="shared" si="5"/>
        <v>3</v>
      </c>
      <c r="X22" s="75">
        <f t="shared" si="6"/>
        <v>3</v>
      </c>
      <c r="Y22" s="76"/>
    </row>
    <row r="23" spans="1:25" ht="27.6" customHeight="1">
      <c r="A23" s="68" t="s">
        <v>46</v>
      </c>
      <c r="B23" s="59">
        <f>'DF1'!D39</f>
        <v>20</v>
      </c>
      <c r="C23" s="59">
        <f>'DF2'!D48</f>
        <v>20</v>
      </c>
      <c r="D23" s="59">
        <f>'DF3'!D52</f>
        <v>50</v>
      </c>
      <c r="E23" s="59">
        <f>'DF4'!D48</f>
        <v>10</v>
      </c>
      <c r="F23" s="60">
        <f t="shared" si="0"/>
        <v>100</v>
      </c>
      <c r="G23" s="65">
        <f t="shared" si="2"/>
        <v>100</v>
      </c>
      <c r="H23"/>
      <c r="I23" s="59">
        <f>'DF5'!D47</f>
        <v>-35</v>
      </c>
      <c r="J23" s="59">
        <f>'DF6'!D47</f>
        <v>40</v>
      </c>
      <c r="K23" s="59">
        <f>'DF7'!D49</f>
        <v>-25</v>
      </c>
      <c r="L23" s="59">
        <f>'DF8'!D49</f>
        <v>0</v>
      </c>
      <c r="M23" s="59">
        <f>'DF9'!D45</f>
        <v>0</v>
      </c>
      <c r="N23" s="59">
        <f>'DF10'!D39</f>
        <v>0</v>
      </c>
      <c r="O23" s="59">
        <v>0</v>
      </c>
      <c r="P23" s="21">
        <f t="shared" si="1"/>
        <v>80</v>
      </c>
      <c r="Q23" s="64">
        <f t="shared" si="3"/>
        <v>65</v>
      </c>
      <c r="S23" s="73"/>
      <c r="T23" s="74"/>
      <c r="U23" s="66">
        <f t="shared" si="4"/>
        <v>65</v>
      </c>
      <c r="W23" s="70">
        <f t="shared" si="5"/>
        <v>3</v>
      </c>
      <c r="X23" s="75">
        <f t="shared" si="6"/>
        <v>3</v>
      </c>
      <c r="Y23" s="76"/>
    </row>
    <row r="24" spans="1:25" ht="27.6" customHeight="1">
      <c r="A24" s="68" t="s">
        <v>47</v>
      </c>
      <c r="B24" s="59">
        <f>'DF1'!D40</f>
        <v>0</v>
      </c>
      <c r="C24" s="59">
        <f>'DF2'!D49</f>
        <v>15</v>
      </c>
      <c r="D24" s="59">
        <f>'DF3'!D53</f>
        <v>15</v>
      </c>
      <c r="E24" s="59">
        <f>'DF4'!D49</f>
        <v>10</v>
      </c>
      <c r="F24" s="60">
        <f t="shared" si="0"/>
        <v>40</v>
      </c>
      <c r="G24" s="65">
        <f t="shared" si="2"/>
        <v>40</v>
      </c>
      <c r="H24"/>
      <c r="I24" s="59">
        <f>'DF5'!D48</f>
        <v>-30</v>
      </c>
      <c r="J24" s="59">
        <f>'DF6'!D48</f>
        <v>25</v>
      </c>
      <c r="K24" s="59">
        <f>'DF7'!D50</f>
        <v>-20</v>
      </c>
      <c r="L24" s="59">
        <f>'DF8'!D50</f>
        <v>0</v>
      </c>
      <c r="M24" s="59">
        <f>'DF9'!D46</f>
        <v>0</v>
      </c>
      <c r="N24" s="59">
        <f>'DF10'!D40</f>
        <v>0</v>
      </c>
      <c r="O24" s="59">
        <v>0</v>
      </c>
      <c r="P24" s="21">
        <f t="shared" si="1"/>
        <v>15</v>
      </c>
      <c r="Q24" s="64">
        <f t="shared" si="3"/>
        <v>10</v>
      </c>
      <c r="S24" s="73"/>
      <c r="T24" s="74"/>
      <c r="U24" s="66">
        <f t="shared" si="4"/>
        <v>10</v>
      </c>
      <c r="W24" s="70">
        <f t="shared" si="5"/>
        <v>1</v>
      </c>
      <c r="X24" s="75">
        <f t="shared" si="6"/>
        <v>1</v>
      </c>
      <c r="Y24" s="76"/>
    </row>
    <row r="25" spans="1:25" ht="27.6" customHeight="1">
      <c r="A25" s="67" t="s">
        <v>48</v>
      </c>
      <c r="B25" s="59">
        <f>'DF1'!D41</f>
        <v>-10</v>
      </c>
      <c r="C25" s="59">
        <f>'DF2'!D50</f>
        <v>-25</v>
      </c>
      <c r="D25" s="59">
        <f>'DF3'!D54</f>
        <v>-5</v>
      </c>
      <c r="E25" s="59">
        <f>'DF4'!D50</f>
        <v>5</v>
      </c>
      <c r="F25" s="60">
        <f t="shared" si="0"/>
        <v>-35</v>
      </c>
      <c r="G25" s="65">
        <f t="shared" si="2"/>
        <v>-35</v>
      </c>
      <c r="H25"/>
      <c r="I25" s="59">
        <f>'DF5'!D49</f>
        <v>0</v>
      </c>
      <c r="J25" s="59">
        <f>'DF6'!D49</f>
        <v>0</v>
      </c>
      <c r="K25" s="59">
        <f>'DF7'!D51</f>
        <v>-20</v>
      </c>
      <c r="L25" s="59">
        <f>'DF8'!D51</f>
        <v>0</v>
      </c>
      <c r="M25" s="59">
        <f>'DF9'!D47</f>
        <v>30</v>
      </c>
      <c r="N25" s="59">
        <f>'DF10'!D41</f>
        <v>0</v>
      </c>
      <c r="O25" s="59">
        <v>0</v>
      </c>
      <c r="P25" s="21">
        <f t="shared" si="1"/>
        <v>-25</v>
      </c>
      <c r="Q25" s="64">
        <f t="shared" si="3"/>
        <v>-20</v>
      </c>
      <c r="S25" s="73"/>
      <c r="T25" s="74"/>
      <c r="U25" s="66">
        <f t="shared" si="4"/>
        <v>-20</v>
      </c>
      <c r="W25" s="70">
        <f t="shared" si="5"/>
        <v>1</v>
      </c>
      <c r="X25" s="75">
        <f t="shared" si="6"/>
        <v>1</v>
      </c>
      <c r="Y25" s="76"/>
    </row>
    <row r="26" spans="1:25" ht="27.6" customHeight="1">
      <c r="A26" s="67" t="s">
        <v>49</v>
      </c>
      <c r="B26" s="59">
        <f>'DF1'!D42</f>
        <v>0</v>
      </c>
      <c r="C26" s="59">
        <f>'DF2'!D51</f>
        <v>-25</v>
      </c>
      <c r="D26" s="59">
        <f>'DF3'!D55</f>
        <v>20</v>
      </c>
      <c r="E26" s="59">
        <f>'DF4'!D51</f>
        <v>-5</v>
      </c>
      <c r="F26" s="60">
        <f t="shared" si="0"/>
        <v>-10</v>
      </c>
      <c r="G26" s="65">
        <f t="shared" si="2"/>
        <v>-10</v>
      </c>
      <c r="H26"/>
      <c r="I26" s="59">
        <f>'DF5'!D50</f>
        <v>0</v>
      </c>
      <c r="J26" s="59">
        <f>'DF6'!D50</f>
        <v>0</v>
      </c>
      <c r="K26" s="59">
        <f>'DF7'!D52</f>
        <v>-25</v>
      </c>
      <c r="L26" s="59">
        <f>'DF8'!D52</f>
        <v>0</v>
      </c>
      <c r="M26" s="59">
        <f>'DF9'!D48</f>
        <v>60</v>
      </c>
      <c r="N26" s="59">
        <f>'DF10'!D42</f>
        <v>0</v>
      </c>
      <c r="O26" s="59">
        <v>0</v>
      </c>
      <c r="P26" s="21">
        <f t="shared" si="1"/>
        <v>25</v>
      </c>
      <c r="Q26" s="64">
        <f t="shared" si="3"/>
        <v>20</v>
      </c>
      <c r="S26" s="73"/>
      <c r="T26" s="74"/>
      <c r="U26" s="66">
        <f t="shared" si="4"/>
        <v>20</v>
      </c>
      <c r="W26" s="70">
        <f t="shared" si="5"/>
        <v>1</v>
      </c>
      <c r="X26" s="75">
        <f t="shared" si="6"/>
        <v>1</v>
      </c>
      <c r="Y26" s="76"/>
    </row>
    <row r="27" spans="1:25" ht="27.6" customHeight="1">
      <c r="A27" s="67" t="s">
        <v>50</v>
      </c>
      <c r="B27" s="59">
        <f>'DF1'!D43</f>
        <v>0</v>
      </c>
      <c r="C27" s="59">
        <f>'DF2'!D52</f>
        <v>-25</v>
      </c>
      <c r="D27" s="59">
        <f>'DF3'!D56</f>
        <v>30</v>
      </c>
      <c r="E27" s="59">
        <f>'DF4'!D52</f>
        <v>0</v>
      </c>
      <c r="F27" s="60">
        <f t="shared" si="0"/>
        <v>5</v>
      </c>
      <c r="G27" s="65">
        <f t="shared" si="2"/>
        <v>5</v>
      </c>
      <c r="H27"/>
      <c r="I27" s="59">
        <f>'DF5'!D51</f>
        <v>0</v>
      </c>
      <c r="J27" s="59">
        <f>'DF6'!D51</f>
        <v>0</v>
      </c>
      <c r="K27" s="59">
        <f>'DF7'!D53</f>
        <v>-25</v>
      </c>
      <c r="L27" s="59">
        <f>'DF8'!D53</f>
        <v>0</v>
      </c>
      <c r="M27" s="59">
        <f>'DF9'!D49</f>
        <v>65</v>
      </c>
      <c r="N27" s="59">
        <f>'DF10'!D43</f>
        <v>0</v>
      </c>
      <c r="O27" s="59">
        <v>0</v>
      </c>
      <c r="P27" s="21">
        <f t="shared" si="1"/>
        <v>45</v>
      </c>
      <c r="Q27" s="64">
        <f t="shared" si="3"/>
        <v>35</v>
      </c>
      <c r="S27" s="73"/>
      <c r="T27" s="74"/>
      <c r="U27" s="66">
        <f t="shared" si="4"/>
        <v>35</v>
      </c>
      <c r="W27" s="70">
        <f t="shared" si="5"/>
        <v>2</v>
      </c>
      <c r="X27" s="75">
        <f t="shared" si="6"/>
        <v>2</v>
      </c>
      <c r="Y27" s="76"/>
    </row>
    <row r="28" spans="1:25" ht="27.6" customHeight="1">
      <c r="A28" s="67" t="s">
        <v>51</v>
      </c>
      <c r="B28" s="59">
        <f>'DF1'!D44</f>
        <v>20</v>
      </c>
      <c r="C28" s="59">
        <f>'DF2'!D53</f>
        <v>-15</v>
      </c>
      <c r="D28" s="59">
        <f>'DF3'!D57</f>
        <v>-5</v>
      </c>
      <c r="E28" s="59">
        <f>'DF4'!D53</f>
        <v>0</v>
      </c>
      <c r="F28" s="60">
        <f t="shared" si="0"/>
        <v>0</v>
      </c>
      <c r="G28" s="65">
        <f t="shared" si="2"/>
        <v>0</v>
      </c>
      <c r="H28"/>
      <c r="I28" s="59">
        <f>'DF5'!D52</f>
        <v>-15</v>
      </c>
      <c r="J28" s="59">
        <f>'DF6'!D52</f>
        <v>0</v>
      </c>
      <c r="K28" s="59">
        <f>'DF7'!D54</f>
        <v>-20</v>
      </c>
      <c r="L28" s="59">
        <f>'DF8'!D54</f>
        <v>0</v>
      </c>
      <c r="M28" s="59">
        <f>'DF9'!D50</f>
        <v>0</v>
      </c>
      <c r="N28" s="59">
        <f>'DF10'!D44</f>
        <v>0</v>
      </c>
      <c r="O28" s="59">
        <v>0</v>
      </c>
      <c r="P28" s="21">
        <f t="shared" si="1"/>
        <v>-35</v>
      </c>
      <c r="Q28" s="64">
        <f t="shared" si="3"/>
        <v>-30</v>
      </c>
      <c r="S28" s="73"/>
      <c r="T28" s="74"/>
      <c r="U28" s="66">
        <f t="shared" si="4"/>
        <v>-30</v>
      </c>
      <c r="W28" s="70">
        <f t="shared" si="5"/>
        <v>1</v>
      </c>
      <c r="X28" s="75">
        <f t="shared" si="6"/>
        <v>1</v>
      </c>
      <c r="Y28" s="76"/>
    </row>
    <row r="29" spans="1:25" ht="27.6" customHeight="1">
      <c r="A29" s="67" t="s">
        <v>52</v>
      </c>
      <c r="B29" s="59">
        <f>'DF1'!D45</f>
        <v>-10</v>
      </c>
      <c r="C29" s="59">
        <f>'DF2'!D54</f>
        <v>-25</v>
      </c>
      <c r="D29" s="59">
        <f>'DF3'!D58</f>
        <v>5</v>
      </c>
      <c r="E29" s="59">
        <f>'DF4'!D54</f>
        <v>0</v>
      </c>
      <c r="F29" s="60">
        <f t="shared" si="0"/>
        <v>-30</v>
      </c>
      <c r="G29" s="65">
        <f t="shared" si="2"/>
        <v>-30</v>
      </c>
      <c r="H29"/>
      <c r="I29" s="59">
        <f>'DF5'!D53</f>
        <v>0</v>
      </c>
      <c r="J29" s="59">
        <f>'DF6'!D53</f>
        <v>0</v>
      </c>
      <c r="K29" s="59">
        <f>'DF7'!D55</f>
        <v>-10</v>
      </c>
      <c r="L29" s="59">
        <f>'DF8'!D55</f>
        <v>0</v>
      </c>
      <c r="M29" s="59">
        <f>'DF9'!D51</f>
        <v>40</v>
      </c>
      <c r="N29" s="59">
        <f>'DF10'!D45</f>
        <v>0</v>
      </c>
      <c r="O29" s="59">
        <v>0</v>
      </c>
      <c r="P29" s="21">
        <f t="shared" si="1"/>
        <v>0</v>
      </c>
      <c r="Q29" s="64">
        <f t="shared" si="3"/>
        <v>0</v>
      </c>
      <c r="S29" s="73"/>
      <c r="T29" s="74"/>
      <c r="U29" s="66">
        <f t="shared" si="4"/>
        <v>0</v>
      </c>
      <c r="W29" s="70">
        <f t="shared" si="5"/>
        <v>1</v>
      </c>
      <c r="X29" s="75">
        <f t="shared" si="6"/>
        <v>1</v>
      </c>
      <c r="Y29" s="76"/>
    </row>
    <row r="30" spans="1:25" ht="27.6" customHeight="1">
      <c r="A30" s="67" t="s">
        <v>53</v>
      </c>
      <c r="B30" s="59">
        <f>'DF1'!D46</f>
        <v>-5</v>
      </c>
      <c r="C30" s="59">
        <f>'DF2'!D55</f>
        <v>-25</v>
      </c>
      <c r="D30" s="59">
        <f>'DF3'!D59</f>
        <v>75</v>
      </c>
      <c r="E30" s="59">
        <f>'DF4'!D55</f>
        <v>5</v>
      </c>
      <c r="F30" s="60">
        <f t="shared" si="0"/>
        <v>50</v>
      </c>
      <c r="G30" s="65">
        <f t="shared" si="2"/>
        <v>50</v>
      </c>
      <c r="H30"/>
      <c r="I30" s="59">
        <f>'DF5'!D54</f>
        <v>-30</v>
      </c>
      <c r="J30" s="59">
        <f>'DF6'!D54</f>
        <v>0</v>
      </c>
      <c r="K30" s="59">
        <f>'DF7'!D56</f>
        <v>-20</v>
      </c>
      <c r="L30" s="59">
        <f>'DF8'!D56</f>
        <v>0</v>
      </c>
      <c r="M30" s="59">
        <f>'DF9'!D52</f>
        <v>60</v>
      </c>
      <c r="N30" s="59">
        <f>'DF10'!D46</f>
        <v>0</v>
      </c>
      <c r="O30" s="59">
        <v>0</v>
      </c>
      <c r="P30" s="21">
        <f t="shared" si="1"/>
        <v>60</v>
      </c>
      <c r="Q30" s="64">
        <f t="shared" si="3"/>
        <v>50</v>
      </c>
      <c r="S30" s="73"/>
      <c r="T30" s="74"/>
      <c r="U30" s="66">
        <f t="shared" si="4"/>
        <v>50</v>
      </c>
      <c r="W30" s="70">
        <f t="shared" si="5"/>
        <v>3</v>
      </c>
      <c r="X30" s="75">
        <f t="shared" si="6"/>
        <v>3</v>
      </c>
      <c r="Y30" s="76"/>
    </row>
    <row r="31" spans="1:25" ht="34.5" customHeight="1">
      <c r="A31" s="67" t="s">
        <v>54</v>
      </c>
      <c r="B31" s="59">
        <f>'DF1'!D47</f>
        <v>-5</v>
      </c>
      <c r="C31" s="59">
        <f>'DF2'!D56</f>
        <v>-25</v>
      </c>
      <c r="D31" s="59">
        <f>'DF3'!D60</f>
        <v>50</v>
      </c>
      <c r="E31" s="59">
        <f>'DF4'!D56</f>
        <v>5</v>
      </c>
      <c r="F31" s="60">
        <f t="shared" si="0"/>
        <v>25</v>
      </c>
      <c r="G31" s="65">
        <f t="shared" si="2"/>
        <v>25</v>
      </c>
      <c r="H31"/>
      <c r="I31" s="59">
        <f>'DF5'!D55</f>
        <v>0</v>
      </c>
      <c r="J31" s="59">
        <f>'DF6'!D55</f>
        <v>0</v>
      </c>
      <c r="K31" s="59">
        <f>'DF7'!D57</f>
        <v>-15</v>
      </c>
      <c r="L31" s="59">
        <f>'DF8'!D57</f>
        <v>0</v>
      </c>
      <c r="M31" s="59">
        <f>'DF9'!D53</f>
        <v>40</v>
      </c>
      <c r="N31" s="59">
        <f>'DF10'!D47</f>
        <v>0</v>
      </c>
      <c r="O31" s="59">
        <v>0</v>
      </c>
      <c r="P31" s="21">
        <f t="shared" si="1"/>
        <v>50</v>
      </c>
      <c r="Q31" s="64">
        <f t="shared" si="3"/>
        <v>40</v>
      </c>
      <c r="S31" s="73"/>
      <c r="T31" s="74"/>
      <c r="U31" s="66">
        <f t="shared" si="4"/>
        <v>40</v>
      </c>
      <c r="W31" s="70">
        <f t="shared" si="5"/>
        <v>2</v>
      </c>
      <c r="X31" s="75">
        <f t="shared" si="6"/>
        <v>2</v>
      </c>
      <c r="Y31" s="76"/>
    </row>
    <row r="32" spans="1:25" ht="27.6" customHeight="1">
      <c r="A32" s="67" t="s">
        <v>55</v>
      </c>
      <c r="B32" s="59">
        <f>'DF1'!D48</f>
        <v>-15</v>
      </c>
      <c r="C32" s="59">
        <f>'DF2'!D57</f>
        <v>-25</v>
      </c>
      <c r="D32" s="59">
        <f>'DF3'!D61</f>
        <v>35</v>
      </c>
      <c r="E32" s="59">
        <f>'DF4'!D57</f>
        <v>5</v>
      </c>
      <c r="F32" s="60">
        <f t="shared" si="0"/>
        <v>0</v>
      </c>
      <c r="G32" s="65">
        <f t="shared" si="2"/>
        <v>0</v>
      </c>
      <c r="H32"/>
      <c r="I32" s="59">
        <f>'DF5'!D56</f>
        <v>0</v>
      </c>
      <c r="J32" s="59">
        <f>'DF6'!D56</f>
        <v>0</v>
      </c>
      <c r="K32" s="59">
        <f>'DF7'!D58</f>
        <v>-10</v>
      </c>
      <c r="L32" s="59">
        <f>'DF8'!D58</f>
        <v>0</v>
      </c>
      <c r="M32" s="59">
        <f>'DF9'!D54</f>
        <v>0</v>
      </c>
      <c r="N32" s="59">
        <f>'DF10'!D48</f>
        <v>0</v>
      </c>
      <c r="O32" s="59">
        <v>0</v>
      </c>
      <c r="P32" s="21">
        <f t="shared" si="1"/>
        <v>-10</v>
      </c>
      <c r="Q32" s="64">
        <f t="shared" si="3"/>
        <v>-10</v>
      </c>
      <c r="S32" s="73"/>
      <c r="T32" s="74"/>
      <c r="U32" s="66">
        <f t="shared" si="4"/>
        <v>-10</v>
      </c>
      <c r="W32" s="70">
        <f t="shared" si="5"/>
        <v>1</v>
      </c>
      <c r="X32" s="75">
        <f t="shared" si="6"/>
        <v>1</v>
      </c>
      <c r="Y32" s="76"/>
    </row>
    <row r="33" spans="1:25" ht="27.6" customHeight="1">
      <c r="A33" s="67" t="s">
        <v>56</v>
      </c>
      <c r="B33" s="59">
        <f>'DF1'!D49</f>
        <v>0</v>
      </c>
      <c r="C33" s="59">
        <f>'DF2'!D58</f>
        <v>15</v>
      </c>
      <c r="D33" s="59">
        <f>'DF3'!D62</f>
        <v>40</v>
      </c>
      <c r="E33" s="59">
        <f>'DF4'!D58</f>
        <v>5</v>
      </c>
      <c r="F33" s="60">
        <f t="shared" si="0"/>
        <v>60</v>
      </c>
      <c r="G33" s="65">
        <f t="shared" si="2"/>
        <v>60</v>
      </c>
      <c r="H33"/>
      <c r="I33" s="59">
        <f>'DF5'!D57</f>
        <v>0</v>
      </c>
      <c r="J33" s="59">
        <f>'DF6'!D57</f>
        <v>0</v>
      </c>
      <c r="K33" s="59">
        <f>'DF7'!D59</f>
        <v>-10</v>
      </c>
      <c r="L33" s="59">
        <f>'DF8'!D59</f>
        <v>0</v>
      </c>
      <c r="M33" s="59">
        <f>'DF9'!D55</f>
        <v>0</v>
      </c>
      <c r="N33" s="59">
        <f>'DF10'!D49</f>
        <v>0</v>
      </c>
      <c r="O33" s="59">
        <v>0</v>
      </c>
      <c r="P33" s="21">
        <f t="shared" si="1"/>
        <v>50</v>
      </c>
      <c r="Q33" s="64">
        <f t="shared" si="3"/>
        <v>40</v>
      </c>
      <c r="S33" s="73"/>
      <c r="T33" s="74"/>
      <c r="U33" s="66">
        <f t="shared" si="4"/>
        <v>40</v>
      </c>
      <c r="W33" s="70">
        <f t="shared" si="5"/>
        <v>2</v>
      </c>
      <c r="X33" s="75">
        <f t="shared" si="6"/>
        <v>2</v>
      </c>
      <c r="Y33" s="76"/>
    </row>
    <row r="34" spans="1:25" ht="27.6" customHeight="1">
      <c r="A34" s="67" t="s">
        <v>57</v>
      </c>
      <c r="B34" s="59">
        <f>'DF1'!D50</f>
        <v>0</v>
      </c>
      <c r="C34" s="59">
        <f>'DF2'!D59</f>
        <v>-20</v>
      </c>
      <c r="D34" s="59">
        <f>'DF3'!D63</f>
        <v>65</v>
      </c>
      <c r="E34" s="59">
        <f>'DF4'!D59</f>
        <v>15</v>
      </c>
      <c r="F34" s="60">
        <f t="shared" si="0"/>
        <v>60</v>
      </c>
      <c r="G34" s="65">
        <f t="shared" si="2"/>
        <v>60</v>
      </c>
      <c r="H34"/>
      <c r="I34" s="59">
        <f>'DF5'!D58</f>
        <v>-30</v>
      </c>
      <c r="J34" s="59">
        <f>'DF6'!D58</f>
        <v>0</v>
      </c>
      <c r="K34" s="59">
        <f>'DF7'!D60</f>
        <v>-15</v>
      </c>
      <c r="L34" s="59">
        <f>'DF8'!D60</f>
        <v>0</v>
      </c>
      <c r="M34" s="59">
        <f>'DF9'!D56</f>
        <v>15</v>
      </c>
      <c r="N34" s="59">
        <f>'DF10'!D50</f>
        <v>0</v>
      </c>
      <c r="O34" s="59">
        <v>0</v>
      </c>
      <c r="P34" s="21">
        <f t="shared" si="1"/>
        <v>30</v>
      </c>
      <c r="Q34" s="64">
        <f t="shared" si="3"/>
        <v>25</v>
      </c>
      <c r="S34" s="73"/>
      <c r="T34" s="74"/>
      <c r="U34" s="66">
        <f t="shared" si="4"/>
        <v>25</v>
      </c>
      <c r="W34" s="70">
        <f t="shared" si="5"/>
        <v>2</v>
      </c>
      <c r="X34" s="75">
        <f t="shared" si="6"/>
        <v>2</v>
      </c>
      <c r="Y34" s="76"/>
    </row>
    <row r="35" spans="1:25" ht="27.6" customHeight="1">
      <c r="A35" s="67" t="s">
        <v>58</v>
      </c>
      <c r="B35" s="59">
        <f>'DF1'!D51</f>
        <v>-15</v>
      </c>
      <c r="C35" s="59">
        <f>'DF2'!D60</f>
        <v>-25</v>
      </c>
      <c r="D35" s="59">
        <f>'DF3'!D64</f>
        <v>-5</v>
      </c>
      <c r="E35" s="59">
        <f>'DF4'!D60</f>
        <v>10</v>
      </c>
      <c r="F35" s="60">
        <f t="shared" si="0"/>
        <v>-35</v>
      </c>
      <c r="G35" s="65">
        <f t="shared" si="2"/>
        <v>-35</v>
      </c>
      <c r="H35"/>
      <c r="I35" s="59">
        <f>'DF5'!D59</f>
        <v>0</v>
      </c>
      <c r="J35" s="59">
        <f>'DF6'!D59</f>
        <v>0</v>
      </c>
      <c r="K35" s="59">
        <f>'DF7'!D61</f>
        <v>-15</v>
      </c>
      <c r="L35" s="59">
        <f>'DF8'!D61</f>
        <v>0</v>
      </c>
      <c r="M35" s="59">
        <f>'DF9'!D57</f>
        <v>45</v>
      </c>
      <c r="N35" s="59">
        <f>'DF10'!D51</f>
        <v>0</v>
      </c>
      <c r="O35" s="59">
        <v>0</v>
      </c>
      <c r="P35" s="21">
        <f t="shared" si="1"/>
        <v>-5</v>
      </c>
      <c r="Q35" s="64">
        <f t="shared" si="3"/>
        <v>-5</v>
      </c>
      <c r="S35" s="73"/>
      <c r="T35" s="74"/>
      <c r="U35" s="66">
        <f t="shared" si="4"/>
        <v>-5</v>
      </c>
      <c r="W35" s="70">
        <f t="shared" si="5"/>
        <v>1</v>
      </c>
      <c r="X35" s="75">
        <f t="shared" si="6"/>
        <v>1</v>
      </c>
      <c r="Y35" s="76"/>
    </row>
    <row r="36" spans="1:25" ht="27.6" customHeight="1">
      <c r="A36" s="68" t="s">
        <v>59</v>
      </c>
      <c r="B36" s="59">
        <f>'DF1'!D52</f>
        <v>5</v>
      </c>
      <c r="C36" s="59">
        <f>'DF2'!D61</f>
        <v>-20</v>
      </c>
      <c r="D36" s="59">
        <f>'DF3'!D65</f>
        <v>50</v>
      </c>
      <c r="E36" s="59">
        <f>'DF4'!D61</f>
        <v>5</v>
      </c>
      <c r="F36" s="60">
        <f t="shared" si="0"/>
        <v>40</v>
      </c>
      <c r="G36" s="65">
        <f t="shared" si="2"/>
        <v>40</v>
      </c>
      <c r="H36"/>
      <c r="I36" s="59">
        <f>'DF5'!D60</f>
        <v>0</v>
      </c>
      <c r="J36" s="59">
        <f>'DF6'!D60</f>
        <v>0</v>
      </c>
      <c r="K36" s="59">
        <f>'DF7'!D62</f>
        <v>-25</v>
      </c>
      <c r="L36" s="59">
        <f>'DF8'!D62</f>
        <v>0</v>
      </c>
      <c r="M36" s="59">
        <f>'DF9'!D58</f>
        <v>0</v>
      </c>
      <c r="N36" s="59">
        <f>'DF10'!D52</f>
        <v>0</v>
      </c>
      <c r="O36" s="59">
        <v>0</v>
      </c>
      <c r="P36" s="21">
        <f t="shared" si="1"/>
        <v>15</v>
      </c>
      <c r="Q36" s="64">
        <f t="shared" si="3"/>
        <v>10</v>
      </c>
      <c r="S36" s="73"/>
      <c r="T36" s="74"/>
      <c r="U36" s="66">
        <f t="shared" si="4"/>
        <v>10</v>
      </c>
      <c r="W36" s="70">
        <f t="shared" si="5"/>
        <v>1</v>
      </c>
      <c r="X36" s="75">
        <f t="shared" si="6"/>
        <v>1</v>
      </c>
      <c r="Y36" s="76"/>
    </row>
    <row r="37" spans="1:25" ht="27.6" customHeight="1">
      <c r="A37" s="68" t="s">
        <v>60</v>
      </c>
      <c r="B37" s="59">
        <f>'DF1'!D53</f>
        <v>30</v>
      </c>
      <c r="C37" s="59">
        <f>'DF2'!D62</f>
        <v>-5</v>
      </c>
      <c r="D37" s="59">
        <f>'DF3'!D66</f>
        <v>65</v>
      </c>
      <c r="E37" s="59">
        <f>'DF4'!D62</f>
        <v>5</v>
      </c>
      <c r="F37" s="60">
        <f t="shared" si="0"/>
        <v>95</v>
      </c>
      <c r="G37" s="65">
        <f t="shared" si="2"/>
        <v>95</v>
      </c>
      <c r="H37"/>
      <c r="I37" s="59">
        <f>'DF5'!D61</f>
        <v>-30</v>
      </c>
      <c r="J37" s="59">
        <f>'DF6'!D61</f>
        <v>0</v>
      </c>
      <c r="K37" s="59">
        <f>'DF7'!D63</f>
        <v>-25</v>
      </c>
      <c r="L37" s="59">
        <f>'DF8'!D63</f>
        <v>0</v>
      </c>
      <c r="M37" s="59">
        <f>'DF9'!D59</f>
        <v>0</v>
      </c>
      <c r="N37" s="59">
        <f>'DF10'!D53</f>
        <v>0</v>
      </c>
      <c r="O37" s="59">
        <v>0</v>
      </c>
      <c r="P37" s="21">
        <f t="shared" si="1"/>
        <v>40</v>
      </c>
      <c r="Q37" s="64">
        <f t="shared" si="3"/>
        <v>30</v>
      </c>
      <c r="S37" s="73"/>
      <c r="T37" s="74"/>
      <c r="U37" s="66">
        <f t="shared" si="4"/>
        <v>30</v>
      </c>
      <c r="W37" s="70">
        <f t="shared" si="5"/>
        <v>2</v>
      </c>
      <c r="X37" s="75">
        <f t="shared" si="6"/>
        <v>2</v>
      </c>
      <c r="Y37" s="76"/>
    </row>
    <row r="38" spans="1:25" ht="27.6" customHeight="1">
      <c r="A38" s="68" t="s">
        <v>61</v>
      </c>
      <c r="B38" s="59">
        <f>'DF1'!D54</f>
        <v>20</v>
      </c>
      <c r="C38" s="59">
        <f>'DF2'!D63</f>
        <v>-5</v>
      </c>
      <c r="D38" s="59">
        <f>'DF3'!D67</f>
        <v>50</v>
      </c>
      <c r="E38" s="59">
        <f>'DF4'!D63</f>
        <v>5</v>
      </c>
      <c r="F38" s="60">
        <f t="shared" si="0"/>
        <v>70</v>
      </c>
      <c r="G38" s="65">
        <f t="shared" si="2"/>
        <v>70</v>
      </c>
      <c r="H38"/>
      <c r="I38" s="59">
        <f>'DF5'!D62</f>
        <v>-15</v>
      </c>
      <c r="J38" s="59">
        <f>'DF6'!D62</f>
        <v>0</v>
      </c>
      <c r="K38" s="59">
        <f>'DF7'!D64</f>
        <v>-30</v>
      </c>
      <c r="L38" s="59">
        <f>'DF8'!D64</f>
        <v>0</v>
      </c>
      <c r="M38" s="59">
        <f>'DF9'!D60</f>
        <v>0</v>
      </c>
      <c r="N38" s="59">
        <f>'DF10'!D54</f>
        <v>0</v>
      </c>
      <c r="O38" s="59">
        <v>0</v>
      </c>
      <c r="P38" s="21">
        <f t="shared" si="1"/>
        <v>25</v>
      </c>
      <c r="Q38" s="64">
        <f t="shared" si="3"/>
        <v>20</v>
      </c>
      <c r="S38" s="73"/>
      <c r="T38" s="74"/>
      <c r="U38" s="66">
        <f t="shared" si="4"/>
        <v>20</v>
      </c>
      <c r="W38" s="70">
        <f t="shared" si="5"/>
        <v>1</v>
      </c>
      <c r="X38" s="75">
        <f t="shared" si="6"/>
        <v>1</v>
      </c>
      <c r="Y38" s="76"/>
    </row>
    <row r="39" spans="1:25" ht="27.6" customHeight="1">
      <c r="A39" s="68" t="s">
        <v>62</v>
      </c>
      <c r="B39" s="59">
        <f>'DF1'!D55</f>
        <v>30</v>
      </c>
      <c r="C39" s="59">
        <f>'DF2'!D64</f>
        <v>-5</v>
      </c>
      <c r="D39" s="59">
        <f>'DF3'!D68</f>
        <v>35</v>
      </c>
      <c r="E39" s="59">
        <f>'DF4'!D64</f>
        <v>20</v>
      </c>
      <c r="F39" s="60">
        <f t="shared" si="0"/>
        <v>80</v>
      </c>
      <c r="G39" s="65">
        <f t="shared" si="2"/>
        <v>80</v>
      </c>
      <c r="H39"/>
      <c r="I39" s="59">
        <f>'DF5'!D63</f>
        <v>-35</v>
      </c>
      <c r="J39" s="59">
        <f>'DF6'!D63</f>
        <v>40</v>
      </c>
      <c r="K39" s="59">
        <f>'DF7'!D65</f>
        <v>-30</v>
      </c>
      <c r="L39" s="59">
        <f>'DF8'!D65</f>
        <v>0</v>
      </c>
      <c r="M39" s="59">
        <f>'DF9'!D61</f>
        <v>0</v>
      </c>
      <c r="N39" s="59">
        <f>'DF10'!D55</f>
        <v>0</v>
      </c>
      <c r="O39" s="59">
        <v>0</v>
      </c>
      <c r="P39" s="21">
        <f t="shared" si="1"/>
        <v>55</v>
      </c>
      <c r="Q39" s="64">
        <f t="shared" si="3"/>
        <v>45</v>
      </c>
      <c r="S39" s="73"/>
      <c r="T39" s="74"/>
      <c r="U39" s="66">
        <f t="shared" si="4"/>
        <v>45</v>
      </c>
      <c r="W39" s="70">
        <f t="shared" si="5"/>
        <v>2</v>
      </c>
      <c r="X39" s="75">
        <f t="shared" si="6"/>
        <v>2</v>
      </c>
      <c r="Y39" s="76"/>
    </row>
    <row r="40" spans="1:25" ht="27.6" customHeight="1">
      <c r="A40" s="68" t="s">
        <v>63</v>
      </c>
      <c r="B40" s="59">
        <f>'DF1'!D56</f>
        <v>20</v>
      </c>
      <c r="C40" s="59">
        <f>'DF2'!D65</f>
        <v>10</v>
      </c>
      <c r="D40" s="59">
        <f>'DF3'!D69</f>
        <v>40</v>
      </c>
      <c r="E40" s="59">
        <f>'DF4'!D65</f>
        <v>20</v>
      </c>
      <c r="F40" s="60">
        <f t="shared" si="0"/>
        <v>90</v>
      </c>
      <c r="G40" s="65">
        <f t="shared" si="2"/>
        <v>90</v>
      </c>
      <c r="H40"/>
      <c r="I40" s="59">
        <f>'DF5'!D64</f>
        <v>-30</v>
      </c>
      <c r="J40" s="59">
        <f>'DF6'!D64</f>
        <v>80</v>
      </c>
      <c r="K40" s="59">
        <f>'DF7'!D66</f>
        <v>-15</v>
      </c>
      <c r="L40" s="59">
        <f>'DF8'!D66</f>
        <v>0</v>
      </c>
      <c r="M40" s="59">
        <f>'DF9'!D62</f>
        <v>0</v>
      </c>
      <c r="N40" s="59">
        <f>'DF10'!D56</f>
        <v>0</v>
      </c>
      <c r="O40" s="59">
        <v>0</v>
      </c>
      <c r="P40" s="21">
        <f t="shared" si="1"/>
        <v>125</v>
      </c>
      <c r="Q40" s="64">
        <f t="shared" si="3"/>
        <v>100</v>
      </c>
      <c r="S40" s="73"/>
      <c r="T40" s="74"/>
      <c r="U40" s="66">
        <f t="shared" si="4"/>
        <v>100</v>
      </c>
      <c r="W40" s="70">
        <f t="shared" si="5"/>
        <v>4</v>
      </c>
      <c r="X40" s="75">
        <f t="shared" si="6"/>
        <v>4</v>
      </c>
      <c r="Y40" s="76"/>
    </row>
    <row r="41" spans="1:25" ht="27.6" customHeight="1">
      <c r="A41" s="68" t="s">
        <v>64</v>
      </c>
      <c r="B41" s="59">
        <f>'DF1'!D57</f>
        <v>5</v>
      </c>
      <c r="C41" s="59">
        <f>'DF2'!D66</f>
        <v>-10</v>
      </c>
      <c r="D41" s="59">
        <f>'DF3'!D70</f>
        <v>60</v>
      </c>
      <c r="E41" s="59">
        <f>'DF4'!D66</f>
        <v>5</v>
      </c>
      <c r="F41" s="60">
        <f t="shared" si="0"/>
        <v>60</v>
      </c>
      <c r="G41" s="65">
        <f t="shared" si="2"/>
        <v>60</v>
      </c>
      <c r="H41"/>
      <c r="I41" s="59">
        <f>'DF5'!D65</f>
        <v>-30</v>
      </c>
      <c r="J41" s="59">
        <f>'DF6'!D65</f>
        <v>0</v>
      </c>
      <c r="K41" s="59">
        <f>'DF7'!D67</f>
        <v>-15</v>
      </c>
      <c r="L41" s="59">
        <f>'DF8'!D67</f>
        <v>0</v>
      </c>
      <c r="M41" s="59">
        <f>'DF9'!D63</f>
        <v>0</v>
      </c>
      <c r="N41" s="59">
        <f>'DF10'!D57</f>
        <v>0</v>
      </c>
      <c r="O41" s="59">
        <v>0</v>
      </c>
      <c r="P41" s="21">
        <f t="shared" si="1"/>
        <v>15</v>
      </c>
      <c r="Q41" s="64">
        <f t="shared" si="3"/>
        <v>10</v>
      </c>
      <c r="S41" s="73"/>
      <c r="T41" s="74"/>
      <c r="U41" s="66">
        <f t="shared" si="4"/>
        <v>10</v>
      </c>
      <c r="W41" s="70">
        <f t="shared" si="5"/>
        <v>1</v>
      </c>
      <c r="X41" s="75">
        <f t="shared" si="6"/>
        <v>1</v>
      </c>
      <c r="Y41" s="76"/>
    </row>
    <row r="42" spans="1:25" ht="35.25" customHeight="1">
      <c r="A42" s="67" t="s">
        <v>65</v>
      </c>
      <c r="B42" s="59">
        <f>'DF1'!D58</f>
        <v>0</v>
      </c>
      <c r="C42" s="59">
        <f>'DF2'!D67</f>
        <v>-5</v>
      </c>
      <c r="D42" s="59">
        <f>'DF3'!D71</f>
        <v>15</v>
      </c>
      <c r="E42" s="59">
        <f>'DF4'!D67</f>
        <v>0</v>
      </c>
      <c r="F42" s="60">
        <f t="shared" si="0"/>
        <v>10</v>
      </c>
      <c r="G42" s="65">
        <f t="shared" si="2"/>
        <v>10</v>
      </c>
      <c r="H42"/>
      <c r="I42" s="59">
        <f>'DF5'!D66</f>
        <v>-30</v>
      </c>
      <c r="J42" s="59">
        <f>'DF6'!D66</f>
        <v>0</v>
      </c>
      <c r="K42" s="59">
        <f>'DF7'!D68</f>
        <v>-10</v>
      </c>
      <c r="L42" s="59">
        <f>'DF8'!D68</f>
        <v>-30</v>
      </c>
      <c r="M42" s="59">
        <f>'DF9'!D64</f>
        <v>15</v>
      </c>
      <c r="N42" s="59">
        <f>'DF10'!D58</f>
        <v>0</v>
      </c>
      <c r="O42" s="59">
        <v>0</v>
      </c>
      <c r="P42" s="21">
        <f t="shared" si="1"/>
        <v>-45</v>
      </c>
      <c r="Q42" s="64">
        <f t="shared" si="3"/>
        <v>-35</v>
      </c>
      <c r="S42" s="73"/>
      <c r="T42" s="74"/>
      <c r="U42" s="66">
        <f t="shared" si="4"/>
        <v>-35</v>
      </c>
      <c r="W42" s="70">
        <f t="shared" si="5"/>
        <v>1</v>
      </c>
      <c r="X42" s="75">
        <f t="shared" si="6"/>
        <v>1</v>
      </c>
      <c r="Y42" s="76"/>
    </row>
    <row r="43" spans="1:25" ht="27.6" customHeight="1">
      <c r="A43" s="67" t="s">
        <v>66</v>
      </c>
      <c r="B43" s="59">
        <f>'DF1'!D59</f>
        <v>0</v>
      </c>
      <c r="C43" s="59">
        <f>'DF2'!D68</f>
        <v>5</v>
      </c>
      <c r="D43" s="59">
        <f>'DF3'!D72</f>
        <v>15</v>
      </c>
      <c r="E43" s="59">
        <f>'DF4'!D68</f>
        <v>0</v>
      </c>
      <c r="F43" s="60">
        <f t="shared" si="0"/>
        <v>20</v>
      </c>
      <c r="G43" s="65">
        <f t="shared" si="2"/>
        <v>20</v>
      </c>
      <c r="H43"/>
      <c r="I43" s="59">
        <f>'DF5'!D67</f>
        <v>-15</v>
      </c>
      <c r="J43" s="59">
        <f>'DF6'!D67</f>
        <v>0</v>
      </c>
      <c r="K43" s="59">
        <f>'DF7'!D69</f>
        <v>-10</v>
      </c>
      <c r="L43" s="59">
        <f>'DF8'!D69</f>
        <v>0</v>
      </c>
      <c r="M43" s="59">
        <f>'DF9'!D65</f>
        <v>0</v>
      </c>
      <c r="N43" s="59">
        <f>'DF10'!D59</f>
        <v>0</v>
      </c>
      <c r="O43" s="59">
        <v>0</v>
      </c>
      <c r="P43" s="21">
        <f t="shared" si="1"/>
        <v>-5</v>
      </c>
      <c r="Q43" s="64">
        <f t="shared" si="3"/>
        <v>-5</v>
      </c>
      <c r="S43" s="73"/>
      <c r="T43" s="74"/>
      <c r="U43" s="66">
        <f t="shared" si="4"/>
        <v>-5</v>
      </c>
      <c r="W43" s="70">
        <f t="shared" si="5"/>
        <v>1</v>
      </c>
      <c r="X43" s="75">
        <f t="shared" si="6"/>
        <v>1</v>
      </c>
      <c r="Y43" s="76"/>
    </row>
    <row r="44" spans="1:25" ht="32.25" customHeight="1">
      <c r="A44" s="67" t="s">
        <v>67</v>
      </c>
      <c r="B44" s="59">
        <f>'DF1'!D60</f>
        <v>0</v>
      </c>
      <c r="C44" s="59">
        <f>'DF2'!D69</f>
        <v>20</v>
      </c>
      <c r="D44" s="59">
        <f>'DF3'!D73</f>
        <v>20</v>
      </c>
      <c r="E44" s="59">
        <f>'DF4'!D69</f>
        <v>15</v>
      </c>
      <c r="F44" s="60">
        <f t="shared" si="0"/>
        <v>55</v>
      </c>
      <c r="G44" s="65">
        <f t="shared" si="2"/>
        <v>55</v>
      </c>
      <c r="H44"/>
      <c r="I44" s="59">
        <f>'DF5'!D68</f>
        <v>-30</v>
      </c>
      <c r="J44" s="59">
        <f>'DF6'!D68</f>
        <v>80</v>
      </c>
      <c r="K44" s="59">
        <f>'DF7'!D70</f>
        <v>-5</v>
      </c>
      <c r="L44" s="59">
        <f>'DF8'!D70</f>
        <v>0</v>
      </c>
      <c r="M44" s="59">
        <f>'DF9'!D66</f>
        <v>0</v>
      </c>
      <c r="N44" s="59">
        <f>'DF10'!D60</f>
        <v>0</v>
      </c>
      <c r="O44" s="59">
        <v>0</v>
      </c>
      <c r="P44" s="21">
        <f t="shared" si="1"/>
        <v>100</v>
      </c>
      <c r="Q44" s="64">
        <f t="shared" si="3"/>
        <v>80</v>
      </c>
      <c r="S44" s="73"/>
      <c r="T44" s="74"/>
      <c r="U44" s="66">
        <f t="shared" si="4"/>
        <v>80</v>
      </c>
      <c r="W44" s="70">
        <f t="shared" si="5"/>
        <v>4</v>
      </c>
      <c r="X44" s="75">
        <f t="shared" si="6"/>
        <v>4</v>
      </c>
      <c r="Y44" s="76"/>
    </row>
    <row r="45" spans="1:25" ht="27.6" customHeight="1">
      <c r="A45" s="67" t="s">
        <v>68</v>
      </c>
      <c r="B45" s="59">
        <f>'DF1'!D61</f>
        <v>0</v>
      </c>
      <c r="C45" s="59">
        <f>'DF2'!D70</f>
        <v>10</v>
      </c>
      <c r="D45" s="59">
        <f>'DF3'!D74</f>
        <v>5</v>
      </c>
      <c r="E45" s="59">
        <f>'DF4'!D70</f>
        <v>0</v>
      </c>
      <c r="F45" s="60">
        <f t="shared" si="0"/>
        <v>15</v>
      </c>
      <c r="G45" s="65">
        <f t="shared" si="2"/>
        <v>15</v>
      </c>
      <c r="H45"/>
      <c r="I45" s="59">
        <f>'DF5'!D69</f>
        <v>-30</v>
      </c>
      <c r="J45" s="59">
        <f>'DF6'!D69</f>
        <v>60</v>
      </c>
      <c r="K45" s="59">
        <f>'DF7'!D71</f>
        <v>-10</v>
      </c>
      <c r="L45" s="59">
        <f>'DF8'!D71</f>
        <v>0</v>
      </c>
      <c r="M45" s="59">
        <f>'DF9'!D67</f>
        <v>0</v>
      </c>
      <c r="N45" s="59">
        <f>'DF10'!D61</f>
        <v>0</v>
      </c>
      <c r="O45" s="59">
        <v>0</v>
      </c>
      <c r="P45" s="21">
        <f t="shared" si="1"/>
        <v>35</v>
      </c>
      <c r="Q45" s="64">
        <f t="shared" si="3"/>
        <v>30</v>
      </c>
      <c r="S45" s="73"/>
      <c r="T45" s="74"/>
      <c r="U45" s="66">
        <f t="shared" si="4"/>
        <v>30</v>
      </c>
      <c r="W45" s="71">
        <f t="shared" si="5"/>
        <v>2</v>
      </c>
      <c r="X45" s="75">
        <f t="shared" si="6"/>
        <v>2</v>
      </c>
      <c r="Y45" s="76"/>
    </row>
    <row r="46" spans="1:25" hidden="1"/>
    <row r="47" spans="1:25" hidden="1">
      <c r="B47" s="23">
        <f>AVERAGE(B6:B45)</f>
        <v>4</v>
      </c>
      <c r="C47" s="23">
        <f t="shared" ref="C47:N47" si="7">AVERAGE(C6:C45)</f>
        <v>-10.125</v>
      </c>
      <c r="D47" s="23">
        <f t="shared" si="7"/>
        <v>17.75</v>
      </c>
      <c r="E47" s="23">
        <f t="shared" si="7"/>
        <v>3.625</v>
      </c>
      <c r="G47" s="63">
        <f>AVERAGE(G6:G45)</f>
        <v>15.25</v>
      </c>
      <c r="H47" s="63"/>
      <c r="I47" s="23">
        <f t="shared" si="7"/>
        <v>-15.875</v>
      </c>
      <c r="J47" s="23">
        <f t="shared" si="7"/>
        <v>15.75</v>
      </c>
      <c r="K47" s="23">
        <f t="shared" si="7"/>
        <v>-18.5</v>
      </c>
      <c r="L47" s="23">
        <f t="shared" si="7"/>
        <v>-3.375</v>
      </c>
      <c r="M47" s="23">
        <f t="shared" si="7"/>
        <v>9.25</v>
      </c>
      <c r="N47" s="23">
        <f t="shared" si="7"/>
        <v>-0.25</v>
      </c>
      <c r="Q47" s="63">
        <f>AVERAGE(Q6:Q45)</f>
        <v>1.625</v>
      </c>
    </row>
    <row r="48" spans="1:25" hidden="1"/>
    <row r="49" spans="6:16" hidden="1"/>
    <row r="50" spans="6:16" hidden="1">
      <c r="F50" s="37">
        <f>MAX(F6:F45)</f>
        <v>100</v>
      </c>
      <c r="P50" s="37">
        <f>MAX(P6:P45)</f>
        <v>125</v>
      </c>
    </row>
    <row r="51" spans="6:16" hidden="1">
      <c r="F51" s="37">
        <f>-MIN(F6:F45)</f>
        <v>75</v>
      </c>
      <c r="P51" s="37">
        <f>-MIN(P6:P45)</f>
        <v>115</v>
      </c>
    </row>
  </sheetData>
  <sheetProtection algorithmName="SHA-512" hashValue="9P+v3fYWpeSWcqTYz12nzbmuSO2iFZysE+YFM3bOJr+vuepkYcfPm7dfU7dhra2WsolbKEvkKu88ngVT1+ezfQ==" saltValue="C7D1wv/G0eMOhKVgpSfijQ==" spinCount="100000" sheet="1" objects="1" scenarios="1"/>
  <mergeCells count="12">
    <mergeCell ref="A1:Y1"/>
    <mergeCell ref="G4:G5"/>
    <mergeCell ref="Q4:Q5"/>
    <mergeCell ref="U4:U5"/>
    <mergeCell ref="B3:G3"/>
    <mergeCell ref="I3:Q3"/>
    <mergeCell ref="S3:Y3"/>
    <mergeCell ref="W4:W5"/>
    <mergeCell ref="X4:X5"/>
    <mergeCell ref="Y4:Y5"/>
    <mergeCell ref="S4:S5"/>
    <mergeCell ref="T4:T5"/>
  </mergeCells>
  <conditionalFormatting sqref="G6:G4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{77D6852B-C2D4-4ADD-8AC7-5DB75BC713D3}</x14:id>
        </ext>
      </extLst>
    </cfRule>
  </conditionalFormatting>
  <conditionalFormatting sqref="I5:O5 B5:E5">
    <cfRule type="colorScale" priority="8">
      <colorScale>
        <cfvo type="min"/>
        <cfvo type="max"/>
        <color rgb="FFFCFCFF"/>
        <color rgb="FF63BE7B"/>
      </colorScale>
    </cfRule>
  </conditionalFormatting>
  <conditionalFormatting sqref="Q6:Q4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{AAB70E86-C750-4766-9DE9-B2A57A296ADF}</x14:id>
        </ext>
      </extLst>
    </cfRule>
  </conditionalFormatting>
  <conditionalFormatting sqref="T6:T45">
    <cfRule type="expression" dxfId="32" priority="3">
      <formula>$S$6&lt;&gt;0</formula>
    </cfRule>
  </conditionalFormatting>
  <conditionalFormatting sqref="U6:U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{2839329B-573C-475A-8902-8F294F4682EE}</x14:id>
        </ext>
      </extLst>
    </cfRule>
  </conditionalFormatting>
  <conditionalFormatting sqref="W6:W45">
    <cfRule type="dataBar" priority="2">
      <dataBar>
        <cfvo type="num" val="0"/>
        <cfvo type="num" val="5"/>
        <color rgb="FF638EC6"/>
      </dataBar>
      <extLst>
        <ext xmlns:x14="http://schemas.microsoft.com/office/spreadsheetml/2009/9/main" uri="{B025F937-C7B1-47D3-B67F-A62EFF666E3E}">
          <x14:id>{79BF5F6B-1702-4ECD-8643-F8D3EFAD272E}</x14:id>
        </ext>
      </extLst>
    </cfRule>
  </conditionalFormatting>
  <conditionalFormatting sqref="X6:X45">
    <cfRule type="dataBar" priority="1">
      <dataBar>
        <cfvo type="num" val="0"/>
        <cfvo type="num" val="5"/>
        <color rgb="FF7030A0"/>
      </dataBar>
      <extLst>
        <ext xmlns:x14="http://schemas.microsoft.com/office/spreadsheetml/2009/9/main" uri="{B025F937-C7B1-47D3-B67F-A62EFF666E3E}">
          <x14:id>{5BCB682B-2A83-4AF6-81AB-CAFC66870E74}</x14:id>
        </ext>
      </extLst>
    </cfRule>
    <cfRule type="cellIs" dxfId="31" priority="5" operator="notEqual">
      <formula>W6</formula>
    </cfRule>
  </conditionalFormatting>
  <conditionalFormatting sqref="Y6:Y45">
    <cfRule type="expression" dxfId="30" priority="4">
      <formula>W6&lt;&gt;X6</formula>
    </cfRule>
  </conditionalFormatting>
  <dataValidations count="1">
    <dataValidation type="decimal" allowBlank="1" showInputMessage="1" showErrorMessage="1" sqref="S6:S45" xr:uid="{22A6595B-B8C3-4352-8CD2-1FC142BCA2D1}">
      <formula1>-100</formula1>
      <formula2>100</formula2>
    </dataValidation>
  </dataValidations>
  <hyperlinks>
    <hyperlink ref="N4" location="DF10in!A1" display="IT Adoption Strategy" xr:uid="{8053FDC9-E339-4D0F-979A-AE455CDD5CF0}"/>
    <hyperlink ref="B4" location="'DF1'!A1" display="Enterprise Strategy" xr:uid="{098D2F6C-A034-4BF4-92C1-17EAB1C9C525}"/>
  </hyperlinks>
  <pageMargins left="0.25" right="0.25" top="0.75" bottom="0.75" header="0.3" footer="0.3"/>
  <pageSetup paperSize="5" scale="48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ignoredErrors>
    <ignoredError sqref="Q6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D6852B-C2D4-4ADD-8AC7-5DB75BC713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G6:G45</xm:sqref>
        </x14:conditionalFormatting>
        <x14:conditionalFormatting xmlns:xm="http://schemas.microsoft.com/office/excel/2006/main">
          <x14:cfRule type="dataBar" id="{AAB70E86-C750-4766-9DE9-B2A57A296A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Q6:Q45</xm:sqref>
        </x14:conditionalFormatting>
        <x14:conditionalFormatting xmlns:xm="http://schemas.microsoft.com/office/excel/2006/main">
          <x14:cfRule type="dataBar" id="{2839329B-573C-475A-8902-8F294F4682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U6:U45</xm:sqref>
        </x14:conditionalFormatting>
        <x14:conditionalFormatting xmlns:xm="http://schemas.microsoft.com/office/excel/2006/main">
          <x14:cfRule type="dataBar" id="{79BF5F6B-1702-4ECD-8643-F8D3EFAD272E}">
            <x14:dataBar minLength="0" maxLength="100" border="1" gradient="0">
              <x14:cfvo type="num">
                <xm:f>0</xm:f>
              </x14:cfvo>
              <x14:cfvo type="num">
                <xm:f>5</xm:f>
              </x14:cfvo>
              <x14:borderColor theme="0"/>
              <x14:negativeFillColor rgb="FFFF0000"/>
              <x14:axisColor rgb="FF000000"/>
            </x14:dataBar>
          </x14:cfRule>
          <xm:sqref>W6:W45</xm:sqref>
        </x14:conditionalFormatting>
        <x14:conditionalFormatting xmlns:xm="http://schemas.microsoft.com/office/excel/2006/main">
          <x14:cfRule type="dataBar" id="{5BCB682B-2A83-4AF6-81AB-CAFC66870E74}">
            <x14:dataBar minLength="0" maxLength="100" border="1" gradient="0">
              <x14:cfvo type="num">
                <xm:f>0</xm:f>
              </x14:cfvo>
              <x14:cfvo type="num">
                <xm:f>5</xm:f>
              </x14:cfvo>
              <x14:borderColor theme="0"/>
              <x14:negativeFillColor rgb="FFFF0000"/>
              <x14:axisColor rgb="FF000000"/>
            </x14:dataBar>
          </x14:cfRule>
          <xm:sqref>X6:X45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32B9-84DF-4ACB-A100-8B34DFC0E27E}">
  <sheetPr>
    <tabColor theme="9" tint="-0.499984740745262"/>
    <pageSetUpPr fitToPage="1"/>
  </sheetPr>
  <dimension ref="A1:AD61"/>
  <sheetViews>
    <sheetView showGridLines="0" zoomScale="115" zoomScaleNormal="115" workbookViewId="0">
      <pane ySplit="2" topLeftCell="A3" activePane="bottomLeft" state="frozen"/>
      <selection pane="bottomLeft" activeCell="D26" sqref="D26"/>
      <selection activeCell="A9" sqref="A9:B9"/>
    </sheetView>
  </sheetViews>
  <sheetFormatPr defaultColWidth="8.7109375" defaultRowHeight="14.45"/>
  <cols>
    <col min="1" max="1" width="13.140625" style="49" customWidth="1"/>
    <col min="2" max="2" width="6.85546875" style="49" customWidth="1"/>
    <col min="3" max="3" width="8.140625" style="49" customWidth="1"/>
    <col min="4" max="4" width="9.85546875" style="49" customWidth="1"/>
    <col min="5" max="5" width="10.140625" style="49" customWidth="1"/>
    <col min="6" max="6" width="14.85546875" style="49" customWidth="1"/>
    <col min="7" max="7" width="10.7109375" style="49" customWidth="1"/>
    <col min="8" max="8" width="4.7109375" style="49" customWidth="1"/>
    <col min="9" max="9" width="18.7109375" style="49" customWidth="1"/>
    <col min="10" max="10" width="8.7109375" style="49"/>
    <col min="11" max="14" width="7.140625" style="49" customWidth="1"/>
    <col min="15" max="15" width="21.140625" style="49" customWidth="1"/>
    <col min="16" max="19" width="8.7109375" style="49"/>
    <col min="31" max="16384" width="8.7109375" style="49"/>
  </cols>
  <sheetData>
    <row r="1" spans="1:30" s="89" customFormat="1" ht="35.450000000000003" customHeight="1">
      <c r="A1" s="204" t="s">
        <v>69</v>
      </c>
      <c r="B1" s="205"/>
      <c r="C1" s="205"/>
      <c r="D1" s="205"/>
      <c r="E1" s="205"/>
      <c r="F1" s="205"/>
      <c r="G1" s="205"/>
      <c r="H1" s="205"/>
      <c r="I1" s="206"/>
      <c r="J1" s="204" t="s">
        <v>69</v>
      </c>
      <c r="K1" s="205"/>
      <c r="L1" s="205"/>
      <c r="M1" s="205"/>
      <c r="N1" s="205"/>
      <c r="O1" s="205"/>
      <c r="P1" s="205"/>
      <c r="Q1" s="205"/>
      <c r="R1" s="205"/>
      <c r="S1" s="205"/>
      <c r="T1"/>
      <c r="U1"/>
      <c r="V1"/>
      <c r="W1"/>
      <c r="X1"/>
      <c r="Y1"/>
      <c r="Z1"/>
      <c r="AA1"/>
      <c r="AB1"/>
      <c r="AC1"/>
      <c r="AD1"/>
    </row>
    <row r="2" spans="1:30" s="50" customFormat="1" ht="9" customHeight="1">
      <c r="A2" s="87"/>
      <c r="H2" s="49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91" customFormat="1" ht="24.95" customHeight="1">
      <c r="A3" s="202" t="s">
        <v>70</v>
      </c>
      <c r="B3" s="203"/>
      <c r="C3" s="203"/>
      <c r="D3" s="203"/>
      <c r="E3" s="203"/>
      <c r="F3" s="203"/>
      <c r="G3" s="203"/>
      <c r="H3" s="203"/>
      <c r="I3" s="203"/>
      <c r="J3" s="202" t="s">
        <v>70</v>
      </c>
      <c r="K3" s="202"/>
      <c r="L3" s="202"/>
      <c r="M3" s="202"/>
      <c r="N3" s="202"/>
      <c r="O3" s="202"/>
      <c r="P3" s="202"/>
      <c r="Q3" s="202"/>
      <c r="R3" s="202"/>
      <c r="S3" s="202"/>
      <c r="T3"/>
      <c r="U3"/>
      <c r="V3"/>
      <c r="W3"/>
      <c r="X3"/>
      <c r="Y3"/>
      <c r="Z3"/>
      <c r="AA3"/>
      <c r="AB3"/>
      <c r="AC3"/>
      <c r="AD3"/>
    </row>
    <row r="4" spans="1:30" ht="6.95" customHeight="1">
      <c r="R4"/>
      <c r="S4"/>
    </row>
    <row r="5" spans="1:30" s="32" customFormat="1" ht="6.6" customHeight="1">
      <c r="C5" s="208"/>
      <c r="D5" s="208"/>
      <c r="E5" s="208"/>
      <c r="F5" s="208"/>
      <c r="G5" s="208"/>
      <c r="H5" s="49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 s="34" customFormat="1" ht="38.1" customHeight="1">
      <c r="A6" s="209" t="s">
        <v>71</v>
      </c>
      <c r="B6" s="209"/>
      <c r="C6" s="210"/>
      <c r="D6" s="95" t="s">
        <v>72</v>
      </c>
      <c r="E6" s="95" t="s">
        <v>73</v>
      </c>
      <c r="F6"/>
      <c r="H6" s="77"/>
      <c r="R6"/>
      <c r="S6"/>
      <c r="T6"/>
      <c r="U6"/>
      <c r="V6"/>
      <c r="W6"/>
      <c r="X6"/>
      <c r="Y6"/>
      <c r="Z6"/>
      <c r="AA6"/>
      <c r="AB6"/>
      <c r="AC6"/>
      <c r="AD6"/>
    </row>
    <row r="7" spans="1:30" ht="21.6" customHeight="1">
      <c r="A7" s="211" t="s">
        <v>74</v>
      </c>
      <c r="B7" s="211"/>
      <c r="C7" s="211"/>
      <c r="D7" s="96">
        <v>2</v>
      </c>
      <c r="E7" s="116">
        <v>3</v>
      </c>
      <c r="F7"/>
      <c r="R7"/>
      <c r="S7"/>
    </row>
    <row r="8" spans="1:30" ht="21.6" customHeight="1">
      <c r="A8" s="211" t="s">
        <v>75</v>
      </c>
      <c r="B8" s="211"/>
      <c r="C8" s="211"/>
      <c r="D8" s="97">
        <v>2</v>
      </c>
      <c r="E8" s="116">
        <v>3</v>
      </c>
      <c r="F8"/>
      <c r="R8"/>
      <c r="S8"/>
    </row>
    <row r="9" spans="1:30" ht="21.6" customHeight="1">
      <c r="A9" s="211" t="s">
        <v>76</v>
      </c>
      <c r="B9" s="211"/>
      <c r="C9" s="211"/>
      <c r="D9" s="97">
        <v>3</v>
      </c>
      <c r="E9" s="116">
        <v>3</v>
      </c>
      <c r="F9"/>
    </row>
    <row r="10" spans="1:30" ht="21.6" customHeight="1">
      <c r="A10" s="211" t="s">
        <v>77</v>
      </c>
      <c r="B10" s="211"/>
      <c r="C10" s="211"/>
      <c r="D10" s="98">
        <v>5</v>
      </c>
      <c r="E10" s="117">
        <v>3</v>
      </c>
      <c r="F10"/>
      <c r="G10" s="88"/>
    </row>
    <row r="11" spans="1:30" ht="15.6">
      <c r="A11" s="32"/>
      <c r="B11" s="32"/>
      <c r="C11" s="26"/>
      <c r="D11" s="26"/>
      <c r="E11" s="26"/>
      <c r="F11" s="26"/>
    </row>
    <row r="12" spans="1:30" s="33" customFormat="1">
      <c r="C12" s="78" t="s">
        <v>78</v>
      </c>
      <c r="D12" s="78"/>
      <c r="E12" s="79">
        <f>AVERAGE(D7:D10)</f>
        <v>3</v>
      </c>
      <c r="F12" s="86"/>
      <c r="H12" s="49"/>
      <c r="T12"/>
      <c r="U12"/>
      <c r="V12"/>
      <c r="W12"/>
      <c r="X12"/>
      <c r="Y12"/>
      <c r="Z12"/>
      <c r="AA12"/>
      <c r="AB12"/>
      <c r="AC12"/>
      <c r="AD12"/>
    </row>
    <row r="13" spans="1:30" s="33" customFormat="1">
      <c r="C13" s="78" t="s">
        <v>79</v>
      </c>
      <c r="D13" s="78"/>
      <c r="E13" s="79">
        <f>STDEVP(D7:D10)</f>
        <v>1.2247448713915889</v>
      </c>
      <c r="F13" s="86"/>
      <c r="H13" s="49"/>
      <c r="T13"/>
      <c r="U13"/>
      <c r="V13"/>
      <c r="W13"/>
      <c r="X13"/>
      <c r="Y13"/>
      <c r="Z13"/>
      <c r="AA13"/>
      <c r="AB13"/>
      <c r="AC13"/>
      <c r="AD13"/>
    </row>
    <row r="14" spans="1:30" s="33" customFormat="1">
      <c r="C14" s="78" t="s">
        <v>80</v>
      </c>
      <c r="D14" s="78"/>
      <c r="E14" s="79">
        <f>AVERAGE(E7:E10)/E12</f>
        <v>1</v>
      </c>
      <c r="F14" s="86"/>
      <c r="H14" s="49"/>
      <c r="T14"/>
      <c r="U14"/>
      <c r="V14"/>
      <c r="W14"/>
      <c r="X14"/>
      <c r="Y14"/>
      <c r="Z14"/>
      <c r="AA14"/>
      <c r="AB14"/>
      <c r="AC14"/>
      <c r="AD14"/>
    </row>
    <row r="15" spans="1:30" ht="236.45" customHeight="1"/>
    <row r="16" spans="1:30" ht="77.099999999999994" customHeight="1"/>
    <row r="17" spans="1:30" ht="21.6" customHeight="1"/>
    <row r="18" spans="1:30" s="32" customFormat="1" ht="24.95" customHeight="1">
      <c r="A18" s="207" t="s">
        <v>81</v>
      </c>
      <c r="B18" s="207"/>
      <c r="C18" s="207"/>
      <c r="D18" s="207"/>
      <c r="E18" s="207"/>
      <c r="F18" s="207"/>
      <c r="G18" s="207"/>
      <c r="H18" s="207"/>
      <c r="I18" s="207"/>
      <c r="J18" s="207" t="s">
        <v>81</v>
      </c>
      <c r="K18" s="207"/>
      <c r="L18" s="207"/>
      <c r="M18" s="207"/>
      <c r="N18" s="207"/>
      <c r="O18" s="207"/>
      <c r="P18" s="207"/>
      <c r="Q18" s="207"/>
      <c r="R18" s="207"/>
      <c r="S18" s="207"/>
      <c r="T18"/>
      <c r="U18"/>
      <c r="V18"/>
      <c r="W18"/>
      <c r="X18"/>
      <c r="Y18"/>
      <c r="Z18"/>
      <c r="AA18"/>
      <c r="AB18"/>
      <c r="AC18"/>
      <c r="AD18"/>
    </row>
    <row r="19" spans="1:30" ht="6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</row>
    <row r="20" spans="1:30" s="50" customFormat="1" ht="41.45" customHeight="1">
      <c r="A20" s="199" t="s">
        <v>82</v>
      </c>
      <c r="B20" s="200"/>
      <c r="C20" s="200"/>
      <c r="D20" s="201"/>
      <c r="E20" s="49"/>
      <c r="F20" s="49"/>
      <c r="G20" s="49"/>
      <c r="H20" s="81"/>
      <c r="I20" s="92"/>
      <c r="J20" s="92"/>
      <c r="K20" s="92"/>
      <c r="L20" s="92"/>
      <c r="M20" s="92"/>
      <c r="N20" s="92"/>
      <c r="T20"/>
      <c r="U20"/>
      <c r="V20"/>
      <c r="W20"/>
      <c r="X20"/>
      <c r="Y20"/>
      <c r="Z20"/>
      <c r="AA20"/>
      <c r="AB20"/>
      <c r="AC20"/>
      <c r="AD20"/>
    </row>
    <row r="21" spans="1:30" s="32" customFormat="1" ht="42.95" customHeight="1">
      <c r="A21" s="93" t="s">
        <v>83</v>
      </c>
      <c r="B21" s="94" t="s">
        <v>84</v>
      </c>
      <c r="C21" s="94" t="s">
        <v>85</v>
      </c>
      <c r="D21" s="94" t="s">
        <v>86</v>
      </c>
      <c r="E21"/>
      <c r="F21"/>
      <c r="G21"/>
      <c r="H21" s="81"/>
      <c r="I21" s="82"/>
      <c r="J21" s="82"/>
      <c r="K21" s="82"/>
      <c r="L21" s="82"/>
      <c r="M21" s="82"/>
      <c r="N21" s="82"/>
      <c r="T21"/>
      <c r="U21"/>
      <c r="V21"/>
      <c r="W21"/>
      <c r="X21"/>
      <c r="Y21"/>
      <c r="Z21"/>
      <c r="AA21"/>
      <c r="AB21"/>
      <c r="AC21"/>
      <c r="AD21"/>
    </row>
    <row r="22" spans="1:30" s="20" customFormat="1">
      <c r="A22" s="100" t="str">
        <f>LEFT(Canvas!A6,5)</f>
        <v>EDM01</v>
      </c>
      <c r="B22" s="146">
        <f t="array" ref="B22:B61">MMULT(DF1map!B2:E41,'DF1'!D7:D10)</f>
        <v>16</v>
      </c>
      <c r="C22" s="103">
        <f t="array" ref="C22:C61">MMULT(DF1map!B2:E41,'DF1'!E7:E10)</f>
        <v>15</v>
      </c>
      <c r="D22" s="85">
        <f>IFERROR(MROUND($E$14*100*B22/C22,5)-100,0)</f>
        <v>5</v>
      </c>
      <c r="E22"/>
      <c r="F22"/>
      <c r="G22"/>
      <c r="H22" s="83"/>
      <c r="I22" s="83"/>
      <c r="J22" s="83"/>
      <c r="K22" s="83"/>
      <c r="L22" s="83"/>
      <c r="M22" s="83"/>
      <c r="N22" s="83"/>
      <c r="T22"/>
      <c r="U22"/>
      <c r="V22"/>
      <c r="W22"/>
      <c r="X22"/>
      <c r="Y22"/>
      <c r="Z22"/>
      <c r="AA22"/>
      <c r="AB22"/>
      <c r="AC22"/>
      <c r="AD22"/>
    </row>
    <row r="23" spans="1:30" s="20" customFormat="1">
      <c r="A23" s="100" t="str">
        <f>LEFT(Canvas!A7,5)</f>
        <v>EDM02</v>
      </c>
      <c r="B23" s="146">
        <v>28.5</v>
      </c>
      <c r="C23" s="103">
        <v>24</v>
      </c>
      <c r="D23" s="85">
        <f t="shared" ref="D23:D61" si="0">IFERROR(MROUND($E$14*100*B23/C23,5)-100,0)</f>
        <v>20</v>
      </c>
      <c r="E23"/>
      <c r="F23"/>
      <c r="G23"/>
      <c r="H23" s="83"/>
      <c r="I23" s="83"/>
      <c r="J23" s="84"/>
      <c r="K23" s="83"/>
      <c r="L23" s="83"/>
      <c r="M23" s="83"/>
      <c r="N23" s="83"/>
      <c r="T23"/>
      <c r="U23"/>
      <c r="V23"/>
      <c r="W23"/>
      <c r="X23"/>
      <c r="Y23"/>
      <c r="Z23"/>
      <c r="AA23"/>
      <c r="AB23"/>
      <c r="AC23"/>
      <c r="AD23"/>
    </row>
    <row r="24" spans="1:30" s="20" customFormat="1">
      <c r="A24" s="100" t="str">
        <f>LEFT(Canvas!A8,5)</f>
        <v>EDM03</v>
      </c>
      <c r="B24" s="146">
        <v>17</v>
      </c>
      <c r="C24" s="103">
        <v>15</v>
      </c>
      <c r="D24" s="85">
        <f t="shared" si="0"/>
        <v>15</v>
      </c>
      <c r="E24"/>
      <c r="F24"/>
      <c r="G24"/>
      <c r="H24" s="83"/>
      <c r="I24" s="83"/>
      <c r="J24" s="83"/>
      <c r="K24" s="83"/>
      <c r="L24" s="83"/>
      <c r="M24" s="83"/>
      <c r="N24" s="83"/>
      <c r="T24"/>
      <c r="U24"/>
      <c r="V24"/>
      <c r="W24"/>
      <c r="X24"/>
      <c r="Y24"/>
      <c r="Z24"/>
      <c r="AA24"/>
      <c r="AB24"/>
      <c r="AC24"/>
      <c r="AD24"/>
    </row>
    <row r="25" spans="1:30" s="20" customFormat="1">
      <c r="A25" s="100" t="str">
        <f>LEFT(Canvas!A9,5)</f>
        <v>EDM04</v>
      </c>
      <c r="B25" s="146">
        <v>22</v>
      </c>
      <c r="C25" s="103">
        <v>22.5</v>
      </c>
      <c r="D25" s="85">
        <f t="shared" si="0"/>
        <v>0</v>
      </c>
      <c r="E25"/>
      <c r="F25"/>
      <c r="G25"/>
      <c r="H25" s="83"/>
      <c r="I25" s="83"/>
      <c r="J25" s="83"/>
      <c r="K25" s="83"/>
      <c r="L25" s="83"/>
      <c r="M25" s="83"/>
      <c r="N25" s="83"/>
      <c r="T25"/>
      <c r="U25"/>
      <c r="V25"/>
      <c r="W25"/>
      <c r="X25"/>
      <c r="Y25"/>
      <c r="Z25"/>
      <c r="AA25"/>
      <c r="AB25"/>
      <c r="AC25"/>
      <c r="AD25"/>
    </row>
    <row r="26" spans="1:30" s="20" customFormat="1">
      <c r="A26" s="100" t="str">
        <f>LEFT(Canvas!A10,5)</f>
        <v>EDM05</v>
      </c>
      <c r="B26" s="146">
        <v>19</v>
      </c>
      <c r="C26" s="103">
        <v>18</v>
      </c>
      <c r="D26" s="85">
        <f t="shared" si="0"/>
        <v>5</v>
      </c>
      <c r="E26"/>
      <c r="F26"/>
      <c r="G26"/>
      <c r="H26" s="83"/>
      <c r="I26" s="83"/>
      <c r="J26" s="83"/>
      <c r="K26" s="83"/>
      <c r="L26" s="83"/>
      <c r="M26" s="83"/>
      <c r="N26" s="83"/>
      <c r="T26"/>
      <c r="U26"/>
      <c r="V26"/>
      <c r="W26"/>
      <c r="X26"/>
      <c r="Y26"/>
      <c r="Z26"/>
      <c r="AA26"/>
      <c r="AB26"/>
      <c r="AC26"/>
      <c r="AD26"/>
    </row>
    <row r="27" spans="1:30" s="20" customFormat="1">
      <c r="A27" s="101" t="str">
        <f>LEFT(Canvas!A11,5)</f>
        <v>APO01</v>
      </c>
      <c r="B27" s="146">
        <v>12</v>
      </c>
      <c r="C27" s="103">
        <v>12</v>
      </c>
      <c r="D27" s="85">
        <f t="shared" si="0"/>
        <v>0</v>
      </c>
      <c r="E27"/>
      <c r="F27"/>
      <c r="G27"/>
      <c r="H27" s="83"/>
      <c r="I27" s="83"/>
      <c r="J27" s="83"/>
      <c r="K27" s="83"/>
      <c r="L27" s="83"/>
      <c r="M27" s="83"/>
      <c r="N27" s="83"/>
      <c r="T27"/>
      <c r="U27"/>
      <c r="V27"/>
      <c r="W27"/>
      <c r="X27"/>
      <c r="Y27"/>
      <c r="Z27"/>
      <c r="AA27"/>
      <c r="AB27"/>
      <c r="AC27"/>
      <c r="AD27"/>
    </row>
    <row r="28" spans="1:30" s="20" customFormat="1">
      <c r="A28" s="101" t="str">
        <f>LEFT(Canvas!A12,5)</f>
        <v>APO02</v>
      </c>
      <c r="B28" s="146">
        <v>23.5</v>
      </c>
      <c r="C28" s="103">
        <v>28.5</v>
      </c>
      <c r="D28" s="85">
        <f t="shared" si="0"/>
        <v>-20</v>
      </c>
      <c r="E28"/>
      <c r="F28"/>
      <c r="G28"/>
      <c r="H28" s="83"/>
      <c r="I28" s="83"/>
      <c r="J28" s="83"/>
      <c r="K28" s="83"/>
      <c r="L28" s="83"/>
      <c r="M28" s="83"/>
      <c r="N28" s="83"/>
      <c r="T28"/>
      <c r="U28"/>
      <c r="V28"/>
      <c r="W28"/>
      <c r="X28"/>
      <c r="Y28"/>
      <c r="Z28"/>
      <c r="AA28"/>
      <c r="AB28"/>
      <c r="AC28"/>
      <c r="AD28"/>
    </row>
    <row r="29" spans="1:30" s="20" customFormat="1">
      <c r="A29" s="101" t="str">
        <f>LEFT(Canvas!A13,5)</f>
        <v>APO03</v>
      </c>
      <c r="B29" s="146">
        <v>20</v>
      </c>
      <c r="C29" s="103">
        <v>24</v>
      </c>
      <c r="D29" s="85">
        <f t="shared" si="0"/>
        <v>-15</v>
      </c>
      <c r="E29"/>
      <c r="F29"/>
      <c r="G29"/>
      <c r="H29" s="83"/>
      <c r="I29" s="83"/>
      <c r="J29" s="83"/>
      <c r="K29" s="83"/>
      <c r="L29" s="83"/>
      <c r="M29" s="83"/>
      <c r="N29" s="83"/>
      <c r="T29"/>
      <c r="U29"/>
      <c r="V29"/>
      <c r="W29"/>
      <c r="X29"/>
      <c r="Y29"/>
      <c r="Z29"/>
      <c r="AA29"/>
      <c r="AB29"/>
      <c r="AC29"/>
      <c r="AD29"/>
    </row>
    <row r="30" spans="1:30" s="20" customFormat="1">
      <c r="A30" s="101" t="str">
        <f>LEFT(Canvas!A14,5)</f>
        <v>APO04</v>
      </c>
      <c r="B30" s="146">
        <v>18</v>
      </c>
      <c r="C30" s="103">
        <v>21</v>
      </c>
      <c r="D30" s="85">
        <f t="shared" si="0"/>
        <v>-15</v>
      </c>
      <c r="E30"/>
      <c r="F30"/>
      <c r="G30"/>
      <c r="H30" s="83"/>
      <c r="I30" s="83"/>
      <c r="J30" s="83"/>
      <c r="K30" s="83"/>
      <c r="L30" s="83"/>
      <c r="M30" s="83"/>
      <c r="N30" s="83"/>
      <c r="T30"/>
      <c r="U30"/>
      <c r="V30"/>
      <c r="W30"/>
      <c r="X30"/>
      <c r="Y30"/>
      <c r="Z30"/>
      <c r="AA30"/>
      <c r="AB30"/>
      <c r="AC30"/>
      <c r="AD30"/>
    </row>
    <row r="31" spans="1:30" s="20" customFormat="1">
      <c r="A31" s="101" t="str">
        <f>LEFT(Canvas!A15,5)</f>
        <v>APO05</v>
      </c>
      <c r="B31" s="146">
        <v>27.5</v>
      </c>
      <c r="C31" s="103">
        <v>33</v>
      </c>
      <c r="D31" s="85">
        <f t="shared" si="0"/>
        <v>-15</v>
      </c>
      <c r="E31"/>
      <c r="F31"/>
      <c r="G31"/>
      <c r="H31" s="83"/>
      <c r="I31" s="83"/>
      <c r="J31" s="83"/>
      <c r="K31" s="83"/>
      <c r="L31" s="83"/>
      <c r="M31" s="83"/>
      <c r="N31" s="83"/>
      <c r="T31"/>
      <c r="U31"/>
      <c r="V31"/>
      <c r="W31"/>
      <c r="X31"/>
      <c r="Y31"/>
      <c r="Z31"/>
      <c r="AA31"/>
      <c r="AB31"/>
      <c r="AC31"/>
      <c r="AD31"/>
    </row>
    <row r="32" spans="1:30" s="20" customFormat="1">
      <c r="A32" s="101" t="str">
        <f>LEFT(Canvas!A16,5)</f>
        <v>APO06</v>
      </c>
      <c r="B32" s="146">
        <v>22</v>
      </c>
      <c r="C32" s="103">
        <v>22.5</v>
      </c>
      <c r="D32" s="85">
        <f t="shared" si="0"/>
        <v>0</v>
      </c>
      <c r="E32"/>
      <c r="F32"/>
      <c r="G32"/>
      <c r="H32" s="83"/>
      <c r="I32" s="83"/>
      <c r="J32" s="83"/>
      <c r="K32" s="83"/>
      <c r="L32" s="83"/>
      <c r="M32" s="83"/>
      <c r="N32" s="83"/>
      <c r="T32"/>
      <c r="U32"/>
      <c r="V32"/>
      <c r="W32"/>
      <c r="X32"/>
      <c r="Y32"/>
      <c r="Z32"/>
      <c r="AA32"/>
      <c r="AB32"/>
      <c r="AC32"/>
      <c r="AD32"/>
    </row>
    <row r="33" spans="1:30" s="20" customFormat="1">
      <c r="A33" s="101" t="str">
        <f>LEFT(Canvas!A17,5)</f>
        <v>APO07</v>
      </c>
      <c r="B33" s="146">
        <v>14</v>
      </c>
      <c r="C33" s="103">
        <v>15</v>
      </c>
      <c r="D33" s="85">
        <f t="shared" si="0"/>
        <v>-5</v>
      </c>
      <c r="E33"/>
      <c r="F33"/>
      <c r="G33"/>
      <c r="H33" s="83"/>
      <c r="I33" s="83"/>
      <c r="J33" s="83"/>
      <c r="K33" s="83"/>
      <c r="L33" s="83"/>
      <c r="M33" s="83"/>
      <c r="N33" s="83"/>
      <c r="T33"/>
      <c r="U33"/>
      <c r="V33"/>
      <c r="W33"/>
      <c r="X33"/>
      <c r="Y33"/>
      <c r="Z33"/>
      <c r="AA33"/>
      <c r="AB33"/>
      <c r="AC33"/>
      <c r="AD33"/>
    </row>
    <row r="34" spans="1:30" s="20" customFormat="1">
      <c r="A34" s="101" t="str">
        <f>LEFT(Canvas!A18,5)</f>
        <v>APO08</v>
      </c>
      <c r="B34" s="146">
        <v>25.5</v>
      </c>
      <c r="C34" s="103">
        <v>21</v>
      </c>
      <c r="D34" s="85">
        <f t="shared" si="0"/>
        <v>20</v>
      </c>
      <c r="E34"/>
      <c r="F34"/>
      <c r="G34"/>
      <c r="H34" s="83"/>
      <c r="I34" s="83"/>
      <c r="J34" s="83"/>
      <c r="K34" s="83"/>
      <c r="L34" s="83"/>
      <c r="M34" s="83"/>
      <c r="N34" s="83"/>
      <c r="T34"/>
      <c r="U34"/>
      <c r="V34"/>
      <c r="W34"/>
      <c r="X34"/>
      <c r="Y34"/>
      <c r="Z34"/>
      <c r="AA34"/>
      <c r="AB34"/>
      <c r="AC34"/>
      <c r="AD34"/>
    </row>
    <row r="35" spans="1:30" s="20" customFormat="1">
      <c r="A35" s="101" t="str">
        <f>LEFT(Canvas!A19,5)</f>
        <v>APO09</v>
      </c>
      <c r="B35" s="146">
        <v>28.5</v>
      </c>
      <c r="C35" s="103">
        <v>22.5</v>
      </c>
      <c r="D35" s="85">
        <f t="shared" si="0"/>
        <v>25</v>
      </c>
      <c r="E35"/>
      <c r="F35"/>
      <c r="G35"/>
      <c r="H35" s="83"/>
      <c r="I35" s="83"/>
      <c r="J35" s="83"/>
      <c r="K35" s="83"/>
      <c r="L35" s="83"/>
      <c r="M35" s="83"/>
      <c r="N35" s="83"/>
      <c r="T35"/>
      <c r="U35"/>
      <c r="V35"/>
      <c r="W35"/>
      <c r="X35"/>
      <c r="Y35"/>
      <c r="Z35"/>
      <c r="AA35"/>
      <c r="AB35"/>
      <c r="AC35"/>
      <c r="AD35"/>
    </row>
    <row r="36" spans="1:30" s="20" customFormat="1">
      <c r="A36" s="101" t="str">
        <f>LEFT(Canvas!A20,5)</f>
        <v>APO10</v>
      </c>
      <c r="B36" s="146">
        <v>22</v>
      </c>
      <c r="C36" s="103">
        <v>21</v>
      </c>
      <c r="D36" s="85">
        <f t="shared" si="0"/>
        <v>5</v>
      </c>
      <c r="E36"/>
      <c r="F36"/>
      <c r="G36"/>
      <c r="H36" s="83"/>
      <c r="I36" s="83"/>
      <c r="J36" s="83"/>
      <c r="K36" s="83"/>
      <c r="L36" s="83"/>
      <c r="M36" s="83"/>
      <c r="N36" s="83"/>
      <c r="T36"/>
      <c r="U36"/>
      <c r="V36"/>
      <c r="W36"/>
      <c r="X36"/>
      <c r="Y36"/>
      <c r="Z36"/>
      <c r="AA36"/>
      <c r="AB36"/>
      <c r="AC36"/>
      <c r="AD36"/>
    </row>
    <row r="37" spans="1:30" s="20" customFormat="1">
      <c r="A37" s="101" t="str">
        <f>LEFT(Canvas!A21,5)</f>
        <v>APO11</v>
      </c>
      <c r="B37" s="146">
        <v>27</v>
      </c>
      <c r="C37" s="103">
        <v>21</v>
      </c>
      <c r="D37" s="85">
        <f t="shared" si="0"/>
        <v>30</v>
      </c>
      <c r="E37"/>
      <c r="F37"/>
      <c r="G37"/>
      <c r="H37" s="83"/>
      <c r="I37" s="83"/>
      <c r="J37" s="83"/>
      <c r="K37" s="83"/>
      <c r="L37" s="83"/>
      <c r="M37" s="83"/>
      <c r="N37" s="83"/>
      <c r="T37"/>
      <c r="U37"/>
      <c r="V37"/>
      <c r="W37"/>
      <c r="X37"/>
      <c r="Y37"/>
      <c r="Z37"/>
      <c r="AA37"/>
      <c r="AB37"/>
      <c r="AC37"/>
      <c r="AD37"/>
    </row>
    <row r="38" spans="1:30" s="20" customFormat="1">
      <c r="A38" s="101" t="str">
        <f>LEFT(Canvas!A22,5)</f>
        <v>APO12</v>
      </c>
      <c r="B38" s="146">
        <v>20.5</v>
      </c>
      <c r="C38" s="103">
        <v>18</v>
      </c>
      <c r="D38" s="85">
        <f t="shared" si="0"/>
        <v>15</v>
      </c>
      <c r="E38"/>
      <c r="F38"/>
      <c r="G38"/>
      <c r="H38" s="83"/>
      <c r="I38" s="83"/>
      <c r="J38" s="83"/>
      <c r="K38" s="83"/>
      <c r="L38" s="83"/>
      <c r="M38" s="83"/>
      <c r="N38" s="83"/>
      <c r="T38"/>
      <c r="U38"/>
      <c r="V38"/>
      <c r="W38"/>
      <c r="X38"/>
      <c r="Y38"/>
      <c r="Z38"/>
      <c r="AA38"/>
      <c r="AB38"/>
      <c r="AC38"/>
      <c r="AD38"/>
    </row>
    <row r="39" spans="1:30" s="20" customFormat="1">
      <c r="A39" s="101" t="str">
        <f>LEFT(Canvas!A23,5)</f>
        <v>APO13</v>
      </c>
      <c r="B39" s="146">
        <v>19.5</v>
      </c>
      <c r="C39" s="103">
        <v>16.5</v>
      </c>
      <c r="D39" s="85">
        <f t="shared" si="0"/>
        <v>20</v>
      </c>
      <c r="E39"/>
      <c r="F39"/>
      <c r="G39"/>
      <c r="H39" s="83"/>
      <c r="I39" s="83"/>
      <c r="J39" s="83"/>
      <c r="K39" s="83"/>
      <c r="L39" s="83"/>
      <c r="M39" s="83"/>
      <c r="N39" s="83"/>
      <c r="T39"/>
      <c r="U39"/>
      <c r="V39"/>
      <c r="W39"/>
      <c r="X39"/>
      <c r="Y39"/>
      <c r="Z39"/>
      <c r="AA39"/>
      <c r="AB39"/>
      <c r="AC39"/>
      <c r="AD39"/>
    </row>
    <row r="40" spans="1:30" s="20" customFormat="1">
      <c r="A40" s="101" t="str">
        <f>LEFT(Canvas!A24,5)</f>
        <v>APO14</v>
      </c>
      <c r="B40" s="146">
        <v>12</v>
      </c>
      <c r="C40" s="103">
        <v>12</v>
      </c>
      <c r="D40" s="85">
        <f t="shared" si="0"/>
        <v>0</v>
      </c>
      <c r="E40"/>
      <c r="F40"/>
      <c r="G40"/>
      <c r="H40" s="83"/>
      <c r="I40" s="83"/>
      <c r="J40" s="83"/>
      <c r="K40" s="83"/>
      <c r="L40" s="83"/>
      <c r="M40" s="83"/>
      <c r="N40" s="83"/>
      <c r="T40"/>
      <c r="U40"/>
      <c r="V40"/>
      <c r="W40"/>
      <c r="X40"/>
      <c r="Y40"/>
      <c r="Z40"/>
      <c r="AA40"/>
      <c r="AB40"/>
      <c r="AC40"/>
      <c r="AD40"/>
    </row>
    <row r="41" spans="1:30" s="20" customFormat="1">
      <c r="A41" s="100" t="str">
        <f>LEFT(Canvas!A25,5)</f>
        <v>BAI01</v>
      </c>
      <c r="B41" s="146">
        <v>24</v>
      </c>
      <c r="C41" s="103">
        <v>27</v>
      </c>
      <c r="D41" s="85">
        <f t="shared" si="0"/>
        <v>-10</v>
      </c>
      <c r="E41"/>
      <c r="F41"/>
      <c r="G41"/>
      <c r="H41" s="83"/>
      <c r="I41" s="83"/>
      <c r="J41" s="83"/>
      <c r="K41" s="83"/>
      <c r="L41" s="83"/>
      <c r="M41" s="83"/>
      <c r="N41" s="83"/>
      <c r="T41"/>
      <c r="U41"/>
      <c r="V41"/>
      <c r="W41"/>
      <c r="X41"/>
      <c r="Y41"/>
      <c r="Z41"/>
      <c r="AA41"/>
      <c r="AB41"/>
      <c r="AC41"/>
      <c r="AD41"/>
    </row>
    <row r="42" spans="1:30" s="20" customFormat="1">
      <c r="A42" s="100" t="str">
        <f>LEFT(Canvas!A26,5)</f>
        <v>BAI02</v>
      </c>
      <c r="B42" s="146">
        <v>13.5</v>
      </c>
      <c r="C42" s="103">
        <v>13.5</v>
      </c>
      <c r="D42" s="85">
        <f t="shared" si="0"/>
        <v>0</v>
      </c>
      <c r="E42"/>
      <c r="F42"/>
      <c r="G42"/>
      <c r="H42" s="83"/>
      <c r="I42" s="83"/>
      <c r="J42" s="83"/>
      <c r="K42" s="83"/>
      <c r="L42" s="83"/>
      <c r="M42" s="83"/>
      <c r="N42" s="83"/>
      <c r="T42"/>
      <c r="U42"/>
      <c r="V42"/>
      <c r="W42"/>
      <c r="X42"/>
      <c r="Y42"/>
      <c r="Z42"/>
      <c r="AA42"/>
      <c r="AB42"/>
      <c r="AC42"/>
      <c r="AD42"/>
    </row>
    <row r="43" spans="1:30" s="20" customFormat="1">
      <c r="A43" s="100" t="str">
        <f>LEFT(Canvas!A27,5)</f>
        <v>BAI03</v>
      </c>
      <c r="B43" s="146">
        <v>13.5</v>
      </c>
      <c r="C43" s="103">
        <v>13.5</v>
      </c>
      <c r="D43" s="85">
        <f t="shared" si="0"/>
        <v>0</v>
      </c>
      <c r="E43"/>
      <c r="F43"/>
      <c r="G43"/>
      <c r="H43" s="83"/>
      <c r="I43" s="83"/>
      <c r="J43" s="83"/>
      <c r="K43" s="83"/>
      <c r="L43" s="83"/>
      <c r="M43" s="83"/>
      <c r="N43" s="83"/>
      <c r="T43"/>
      <c r="U43"/>
      <c r="V43"/>
      <c r="W43"/>
      <c r="X43"/>
      <c r="Y43"/>
      <c r="Z43"/>
      <c r="AA43"/>
      <c r="AB43"/>
      <c r="AC43"/>
      <c r="AD43"/>
    </row>
    <row r="44" spans="1:30" s="20" customFormat="1">
      <c r="A44" s="100" t="str">
        <f>LEFT(Canvas!A28,5)</f>
        <v>BAI04</v>
      </c>
      <c r="B44" s="146">
        <v>22</v>
      </c>
      <c r="C44" s="103">
        <v>18</v>
      </c>
      <c r="D44" s="85">
        <f t="shared" si="0"/>
        <v>20</v>
      </c>
      <c r="E44"/>
      <c r="F44"/>
      <c r="G44"/>
      <c r="H44" s="83"/>
      <c r="I44" s="83"/>
      <c r="J44" s="83"/>
      <c r="K44" s="83"/>
      <c r="L44" s="83"/>
      <c r="M44" s="83"/>
      <c r="N44" s="83"/>
      <c r="T44"/>
      <c r="U44"/>
      <c r="V44"/>
      <c r="W44"/>
      <c r="X44"/>
      <c r="Y44"/>
      <c r="Z44"/>
      <c r="AA44"/>
      <c r="AB44"/>
      <c r="AC44"/>
      <c r="AD44"/>
    </row>
    <row r="45" spans="1:30" s="20" customFormat="1">
      <c r="A45" s="100" t="str">
        <f>LEFT(Canvas!A29,5)</f>
        <v>BAI05</v>
      </c>
      <c r="B45" s="146">
        <v>22.5</v>
      </c>
      <c r="C45" s="103">
        <v>25.5</v>
      </c>
      <c r="D45" s="85">
        <f t="shared" si="0"/>
        <v>-10</v>
      </c>
      <c r="E45"/>
      <c r="F45"/>
      <c r="G45"/>
      <c r="H45" s="83"/>
      <c r="I45" s="83"/>
      <c r="J45" s="83"/>
      <c r="K45" s="83"/>
      <c r="L45" s="83"/>
      <c r="M45" s="83"/>
      <c r="N45" s="83"/>
      <c r="T45"/>
      <c r="U45"/>
      <c r="V45"/>
      <c r="W45"/>
      <c r="X45"/>
      <c r="Y45"/>
      <c r="Z45"/>
      <c r="AA45"/>
      <c r="AB45"/>
      <c r="AC45"/>
      <c r="AD45"/>
    </row>
    <row r="46" spans="1:30" s="20" customFormat="1">
      <c r="A46" s="100" t="str">
        <f>LEFT(Canvas!A30,5)</f>
        <v>BAI06</v>
      </c>
      <c r="B46" s="146">
        <v>18.5</v>
      </c>
      <c r="C46" s="103">
        <v>19.5</v>
      </c>
      <c r="D46" s="85">
        <f t="shared" si="0"/>
        <v>-5</v>
      </c>
      <c r="E46"/>
      <c r="F46"/>
      <c r="G46"/>
      <c r="H46" s="83"/>
      <c r="I46" s="83"/>
      <c r="J46" s="83"/>
      <c r="K46" s="83"/>
      <c r="L46" s="83"/>
      <c r="M46" s="83"/>
      <c r="N46" s="83"/>
      <c r="T46"/>
      <c r="U46"/>
      <c r="V46"/>
      <c r="W46"/>
      <c r="X46"/>
      <c r="Y46"/>
      <c r="Z46"/>
      <c r="AA46"/>
      <c r="AB46"/>
      <c r="AC46"/>
      <c r="AD46"/>
    </row>
    <row r="47" spans="1:30" s="20" customFormat="1">
      <c r="A47" s="100" t="str">
        <f>LEFT(Canvas!A31,5)</f>
        <v>BAI07</v>
      </c>
      <c r="B47" s="146">
        <v>17.5</v>
      </c>
      <c r="C47" s="103">
        <v>18</v>
      </c>
      <c r="D47" s="85">
        <f t="shared" si="0"/>
        <v>-5</v>
      </c>
      <c r="E47"/>
      <c r="F47"/>
      <c r="G47"/>
      <c r="H47" s="83"/>
      <c r="I47" s="83"/>
      <c r="J47" s="83"/>
      <c r="K47" s="83"/>
      <c r="L47" s="83"/>
      <c r="M47" s="83"/>
      <c r="N47" s="83"/>
      <c r="T47"/>
      <c r="U47"/>
      <c r="V47"/>
      <c r="W47"/>
      <c r="X47"/>
      <c r="Y47"/>
      <c r="Z47"/>
      <c r="AA47"/>
      <c r="AB47"/>
      <c r="AC47"/>
      <c r="AD47"/>
    </row>
    <row r="48" spans="1:30" s="20" customFormat="1">
      <c r="A48" s="100" t="str">
        <f>LEFT(Canvas!A32,5)</f>
        <v>BAI08</v>
      </c>
      <c r="B48" s="146">
        <v>17</v>
      </c>
      <c r="C48" s="103">
        <v>19.5</v>
      </c>
      <c r="D48" s="85">
        <f t="shared" si="0"/>
        <v>-15</v>
      </c>
      <c r="E48"/>
      <c r="F48"/>
      <c r="G48"/>
      <c r="H48" s="83"/>
      <c r="I48" s="83"/>
      <c r="J48" s="83"/>
      <c r="K48" s="83"/>
      <c r="L48" s="83"/>
      <c r="M48" s="83"/>
      <c r="N48" s="83"/>
      <c r="T48"/>
      <c r="U48"/>
      <c r="V48"/>
      <c r="W48"/>
      <c r="X48"/>
      <c r="Y48"/>
      <c r="Z48"/>
      <c r="AA48"/>
      <c r="AB48"/>
      <c r="AC48"/>
      <c r="AD48"/>
    </row>
    <row r="49" spans="1:30" s="20" customFormat="1">
      <c r="A49" s="100" t="str">
        <f>LEFT(Canvas!A33,5)</f>
        <v>BAI09</v>
      </c>
      <c r="B49" s="146">
        <v>12</v>
      </c>
      <c r="C49" s="103">
        <v>12</v>
      </c>
      <c r="D49" s="85">
        <f t="shared" si="0"/>
        <v>0</v>
      </c>
      <c r="E49"/>
      <c r="F49"/>
      <c r="G49"/>
      <c r="H49" s="83"/>
      <c r="I49" s="83"/>
      <c r="J49" s="83"/>
      <c r="K49" s="83"/>
      <c r="L49" s="83"/>
      <c r="M49" s="83"/>
      <c r="N49" s="83"/>
      <c r="T49"/>
      <c r="U49"/>
      <c r="V49"/>
      <c r="W49"/>
      <c r="X49"/>
      <c r="Y49"/>
      <c r="Z49"/>
      <c r="AA49"/>
      <c r="AB49"/>
      <c r="AC49"/>
      <c r="AD49"/>
    </row>
    <row r="50" spans="1:30" s="20" customFormat="1">
      <c r="A50" s="100" t="str">
        <f>LEFT(Canvas!A34,5)</f>
        <v>BAI10</v>
      </c>
      <c r="B50" s="146">
        <v>12</v>
      </c>
      <c r="C50" s="103">
        <v>12</v>
      </c>
      <c r="D50" s="85">
        <f t="shared" si="0"/>
        <v>0</v>
      </c>
      <c r="E50"/>
      <c r="F50"/>
      <c r="G50"/>
      <c r="H50" s="83"/>
      <c r="I50" s="83"/>
      <c r="J50" s="83"/>
      <c r="K50" s="83"/>
      <c r="L50" s="83"/>
      <c r="M50" s="83"/>
      <c r="N50" s="83"/>
      <c r="T50"/>
      <c r="U50"/>
      <c r="V50"/>
      <c r="W50"/>
      <c r="X50"/>
      <c r="Y50"/>
      <c r="Z50"/>
      <c r="AA50"/>
      <c r="AB50"/>
      <c r="AC50"/>
      <c r="AD50"/>
    </row>
    <row r="51" spans="1:30" s="20" customFormat="1">
      <c r="A51" s="100" t="str">
        <f>LEFT(Canvas!A35,5)</f>
        <v>BAI11</v>
      </c>
      <c r="B51" s="146">
        <v>22.5</v>
      </c>
      <c r="C51" s="103">
        <v>27</v>
      </c>
      <c r="D51" s="85">
        <f t="shared" si="0"/>
        <v>-15</v>
      </c>
      <c r="E51"/>
      <c r="F51"/>
      <c r="G51"/>
      <c r="H51" s="83"/>
      <c r="I51" s="83"/>
      <c r="J51" s="83"/>
      <c r="K51" s="83"/>
      <c r="L51" s="83"/>
      <c r="M51" s="83"/>
      <c r="N51" s="83"/>
      <c r="T51"/>
      <c r="U51"/>
      <c r="V51"/>
      <c r="W51"/>
      <c r="X51"/>
      <c r="Y51"/>
      <c r="Z51"/>
      <c r="AA51"/>
      <c r="AB51"/>
      <c r="AC51"/>
      <c r="AD51"/>
    </row>
    <row r="52" spans="1:30" s="20" customFormat="1">
      <c r="A52" s="101" t="str">
        <f>LEFT(Canvas!A36,5)</f>
        <v>DSS01</v>
      </c>
      <c r="B52" s="146">
        <v>14.5</v>
      </c>
      <c r="C52" s="103">
        <v>13.5</v>
      </c>
      <c r="D52" s="85">
        <f t="shared" si="0"/>
        <v>5</v>
      </c>
      <c r="E52"/>
      <c r="F52"/>
      <c r="G52"/>
      <c r="H52" s="83"/>
      <c r="I52" s="83"/>
      <c r="J52" s="83"/>
      <c r="K52" s="83"/>
      <c r="L52" s="83"/>
      <c r="M52" s="83"/>
      <c r="N52" s="83"/>
      <c r="T52"/>
      <c r="U52"/>
      <c r="V52"/>
      <c r="W52"/>
      <c r="X52"/>
      <c r="Y52"/>
      <c r="Z52"/>
      <c r="AA52"/>
      <c r="AB52"/>
      <c r="AC52"/>
      <c r="AD52"/>
    </row>
    <row r="53" spans="1:30" s="20" customFormat="1">
      <c r="A53" s="101" t="str">
        <f>LEFT(Canvas!A37,5)</f>
        <v>DSS02</v>
      </c>
      <c r="B53" s="146">
        <v>27</v>
      </c>
      <c r="C53" s="103">
        <v>21</v>
      </c>
      <c r="D53" s="85">
        <f t="shared" si="0"/>
        <v>30</v>
      </c>
      <c r="E53"/>
      <c r="F53"/>
      <c r="G53"/>
      <c r="H53" s="83"/>
      <c r="I53" s="83"/>
      <c r="J53" s="83"/>
      <c r="K53" s="83"/>
      <c r="L53" s="83"/>
      <c r="M53" s="83"/>
      <c r="N53" s="83"/>
      <c r="T53"/>
      <c r="U53"/>
      <c r="V53"/>
      <c r="W53"/>
      <c r="X53"/>
      <c r="Y53"/>
      <c r="Z53"/>
      <c r="AA53"/>
      <c r="AB53"/>
      <c r="AC53"/>
      <c r="AD53"/>
    </row>
    <row r="54" spans="1:30" s="20" customFormat="1">
      <c r="A54" s="101" t="str">
        <f>LEFT(Canvas!A38,5)</f>
        <v>DSS03</v>
      </c>
      <c r="B54" s="146">
        <v>22</v>
      </c>
      <c r="C54" s="103">
        <v>18</v>
      </c>
      <c r="D54" s="85">
        <f t="shared" si="0"/>
        <v>20</v>
      </c>
      <c r="E54"/>
      <c r="F54"/>
      <c r="G54"/>
      <c r="H54" s="83"/>
      <c r="I54" s="83"/>
      <c r="J54" s="83"/>
      <c r="K54" s="83"/>
      <c r="L54" s="83"/>
      <c r="M54" s="83"/>
      <c r="N54" s="83"/>
      <c r="T54"/>
      <c r="U54"/>
      <c r="V54"/>
      <c r="W54"/>
      <c r="X54"/>
      <c r="Y54"/>
      <c r="Z54"/>
      <c r="AA54"/>
      <c r="AB54"/>
      <c r="AC54"/>
      <c r="AD54"/>
    </row>
    <row r="55" spans="1:30" s="20" customFormat="1">
      <c r="A55" s="101" t="str">
        <f>LEFT(Canvas!A39,5)</f>
        <v>DSS04</v>
      </c>
      <c r="B55" s="146">
        <v>27</v>
      </c>
      <c r="C55" s="103">
        <v>21</v>
      </c>
      <c r="D55" s="85">
        <f t="shared" si="0"/>
        <v>30</v>
      </c>
      <c r="E55"/>
      <c r="F55"/>
      <c r="G55"/>
      <c r="H55" s="83"/>
      <c r="I55" s="83"/>
      <c r="J55" s="83"/>
      <c r="K55" s="83"/>
      <c r="L55" s="83"/>
      <c r="M55" s="83"/>
      <c r="N55" s="83"/>
      <c r="T55"/>
      <c r="U55"/>
      <c r="V55"/>
      <c r="W55"/>
      <c r="X55"/>
      <c r="Y55"/>
      <c r="Z55"/>
      <c r="AA55"/>
      <c r="AB55"/>
      <c r="AC55"/>
      <c r="AD55"/>
    </row>
    <row r="56" spans="1:30" s="20" customFormat="1">
      <c r="A56" s="101" t="str">
        <f>LEFT(Canvas!A40,5)</f>
        <v>DSS05</v>
      </c>
      <c r="B56" s="146">
        <v>19.5</v>
      </c>
      <c r="C56" s="103">
        <v>16.5</v>
      </c>
      <c r="D56" s="85">
        <f t="shared" si="0"/>
        <v>20</v>
      </c>
      <c r="E56"/>
      <c r="F56"/>
      <c r="G56"/>
      <c r="H56" s="83"/>
      <c r="I56" s="83"/>
      <c r="J56" s="83"/>
      <c r="K56" s="83"/>
      <c r="L56" s="83"/>
      <c r="M56" s="83"/>
      <c r="N56" s="83"/>
      <c r="T56"/>
      <c r="U56"/>
      <c r="V56"/>
      <c r="W56"/>
      <c r="X56"/>
      <c r="Y56"/>
      <c r="Z56"/>
      <c r="AA56"/>
      <c r="AB56"/>
      <c r="AC56"/>
      <c r="AD56"/>
    </row>
    <row r="57" spans="1:30" s="20" customFormat="1">
      <c r="A57" s="101" t="str">
        <f>LEFT(Canvas!A41,5)</f>
        <v>DSS06</v>
      </c>
      <c r="B57" s="146">
        <v>14.5</v>
      </c>
      <c r="C57" s="103">
        <v>13.5</v>
      </c>
      <c r="D57" s="85">
        <f t="shared" si="0"/>
        <v>5</v>
      </c>
      <c r="E57"/>
      <c r="F57"/>
      <c r="G57"/>
      <c r="H57" s="83"/>
      <c r="I57" s="83"/>
      <c r="J57" s="83"/>
      <c r="K57" s="83"/>
      <c r="L57" s="83"/>
      <c r="M57" s="83"/>
      <c r="N57" s="83"/>
      <c r="T57"/>
      <c r="U57"/>
      <c r="V57"/>
      <c r="W57"/>
      <c r="X57"/>
      <c r="Y57"/>
      <c r="Z57"/>
      <c r="AA57"/>
      <c r="AB57"/>
      <c r="AC57"/>
      <c r="AD57"/>
    </row>
    <row r="58" spans="1:30" s="20" customFormat="1">
      <c r="A58" s="100" t="str">
        <f>LEFT(Canvas!A42,5)</f>
        <v>MEA01</v>
      </c>
      <c r="B58" s="146">
        <v>12</v>
      </c>
      <c r="C58" s="103">
        <v>12</v>
      </c>
      <c r="D58" s="85">
        <f t="shared" si="0"/>
        <v>0</v>
      </c>
      <c r="E58"/>
      <c r="F58"/>
      <c r="G58"/>
      <c r="H58" s="83"/>
      <c r="I58" s="83"/>
      <c r="J58" s="83"/>
      <c r="K58" s="83"/>
      <c r="L58" s="83"/>
      <c r="M58" s="83"/>
      <c r="N58" s="83"/>
      <c r="T58"/>
      <c r="U58"/>
      <c r="V58"/>
      <c r="W58"/>
      <c r="X58"/>
      <c r="Y58"/>
      <c r="Z58"/>
      <c r="AA58"/>
      <c r="AB58"/>
      <c r="AC58"/>
      <c r="AD58"/>
    </row>
    <row r="59" spans="1:30" s="20" customFormat="1">
      <c r="A59" s="100" t="str">
        <f>LEFT(Canvas!A43,5)</f>
        <v>MEA02</v>
      </c>
      <c r="B59" s="146">
        <v>12</v>
      </c>
      <c r="C59" s="103">
        <v>12</v>
      </c>
      <c r="D59" s="85">
        <f t="shared" si="0"/>
        <v>0</v>
      </c>
      <c r="E59"/>
      <c r="F59"/>
      <c r="G59"/>
      <c r="H59" s="83"/>
      <c r="I59" s="83"/>
      <c r="J59" s="83"/>
      <c r="K59" s="83"/>
      <c r="L59" s="83"/>
      <c r="M59" s="83"/>
      <c r="N59" s="83"/>
      <c r="T59"/>
      <c r="U59"/>
      <c r="V59"/>
      <c r="W59"/>
      <c r="X59"/>
      <c r="Y59"/>
      <c r="Z59"/>
      <c r="AA59"/>
      <c r="AB59"/>
      <c r="AC59"/>
      <c r="AD59"/>
    </row>
    <row r="60" spans="1:30" s="20" customFormat="1">
      <c r="A60" s="100" t="str">
        <f>LEFT(Canvas!A44,5)</f>
        <v>MEA03</v>
      </c>
      <c r="B60" s="146">
        <v>12</v>
      </c>
      <c r="C60" s="103">
        <v>12</v>
      </c>
      <c r="D60" s="85">
        <f t="shared" si="0"/>
        <v>0</v>
      </c>
      <c r="E60"/>
      <c r="F60"/>
      <c r="G60"/>
      <c r="H60" s="83"/>
      <c r="I60" s="83"/>
      <c r="J60" s="83"/>
      <c r="K60" s="83"/>
      <c r="L60" s="83"/>
      <c r="M60" s="83"/>
      <c r="N60" s="83"/>
      <c r="T60"/>
      <c r="U60"/>
      <c r="V60"/>
      <c r="W60"/>
      <c r="X60"/>
      <c r="Y60"/>
      <c r="Z60"/>
      <c r="AA60"/>
      <c r="AB60"/>
      <c r="AC60"/>
      <c r="AD60"/>
    </row>
    <row r="61" spans="1:30" s="20" customFormat="1">
      <c r="A61" s="100" t="str">
        <f>LEFT(Canvas!A45,5)</f>
        <v>MEA04</v>
      </c>
      <c r="B61" s="146">
        <v>12</v>
      </c>
      <c r="C61" s="103">
        <v>12</v>
      </c>
      <c r="D61" s="85">
        <f t="shared" si="0"/>
        <v>0</v>
      </c>
      <c r="E61"/>
      <c r="F61"/>
      <c r="G61"/>
      <c r="H61" s="83"/>
      <c r="I61" s="83"/>
      <c r="J61" s="83"/>
      <c r="K61" s="83"/>
      <c r="L61" s="83"/>
      <c r="M61" s="83"/>
      <c r="N61" s="83"/>
      <c r="T61"/>
      <c r="U61"/>
      <c r="V61"/>
      <c r="W61"/>
      <c r="X61"/>
      <c r="Y61"/>
      <c r="Z61"/>
      <c r="AA61"/>
      <c r="AB61"/>
      <c r="AC61"/>
      <c r="AD61"/>
    </row>
  </sheetData>
  <sheetProtection algorithmName="SHA-512" hashValue="nGtgwqt+KJ5tAOJ1iT216i4Ob+PaqvUjZoWCOkW9bDqLQTEQE+Ff1fiOcKkbr6Hrrw6MyDJ/uhdUsAPXiwvjMw==" saltValue="BfS4H8Y3xqwyQe/RFd975g==" spinCount="100000" sheet="1" objects="1" scenarios="1"/>
  <mergeCells count="13">
    <mergeCell ref="A20:D20"/>
    <mergeCell ref="J3:S3"/>
    <mergeCell ref="A3:I3"/>
    <mergeCell ref="J1:S1"/>
    <mergeCell ref="A1:I1"/>
    <mergeCell ref="J18:S18"/>
    <mergeCell ref="A18:I18"/>
    <mergeCell ref="C5:G5"/>
    <mergeCell ref="A6:C6"/>
    <mergeCell ref="A7:C7"/>
    <mergeCell ref="A8:C8"/>
    <mergeCell ref="A9:C9"/>
    <mergeCell ref="A10:C10"/>
  </mergeCells>
  <pageMargins left="0.25" right="0.25" top="0.75" bottom="0.75" header="0.3" footer="0.3"/>
  <pageSetup scale="70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16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25D6-23F0-4C82-AF53-217864CE37B8}">
  <sheetPr>
    <tabColor theme="8" tint="-0.499984740745262"/>
    <pageSetUpPr fitToPage="1"/>
  </sheetPr>
  <dimension ref="A1:E41"/>
  <sheetViews>
    <sheetView showGridLines="0" zoomScale="85" zoomScaleNormal="85" workbookViewId="0">
      <pane ySplit="1" topLeftCell="A2" activePane="bottomLeft" state="frozen"/>
      <selection pane="bottomLeft" activeCell="A2" sqref="A2"/>
      <selection activeCell="A9" sqref="A9:B9"/>
    </sheetView>
  </sheetViews>
  <sheetFormatPr defaultRowHeight="14.45"/>
  <cols>
    <col min="1" max="1" width="21.28515625" style="31" customWidth="1"/>
    <col min="2" max="5" width="15.42578125" style="1" customWidth="1"/>
  </cols>
  <sheetData>
    <row r="1" spans="1:5" s="41" customFormat="1" ht="27.6">
      <c r="A1" s="47" t="s">
        <v>87</v>
      </c>
      <c r="B1" s="40" t="s">
        <v>88</v>
      </c>
      <c r="C1" s="40" t="s">
        <v>89</v>
      </c>
      <c r="D1" s="40" t="s">
        <v>76</v>
      </c>
      <c r="E1" s="40" t="s">
        <v>90</v>
      </c>
    </row>
    <row r="2" spans="1:5">
      <c r="A2" s="38" t="s">
        <v>91</v>
      </c>
      <c r="B2" s="46">
        <v>1</v>
      </c>
      <c r="C2" s="46">
        <v>1</v>
      </c>
      <c r="D2" s="46">
        <v>1.5</v>
      </c>
      <c r="E2" s="46">
        <v>1.5</v>
      </c>
    </row>
    <row r="3" spans="1:5">
      <c r="A3" s="38" t="s">
        <v>92</v>
      </c>
      <c r="B3" s="46">
        <v>1.5</v>
      </c>
      <c r="C3" s="46">
        <v>1</v>
      </c>
      <c r="D3" s="46">
        <v>2</v>
      </c>
      <c r="E3" s="46">
        <v>3.5</v>
      </c>
    </row>
    <row r="4" spans="1:5">
      <c r="A4" s="38" t="s">
        <v>93</v>
      </c>
      <c r="B4" s="46">
        <v>1</v>
      </c>
      <c r="C4" s="46">
        <v>1</v>
      </c>
      <c r="D4" s="46">
        <v>1</v>
      </c>
      <c r="E4" s="46">
        <v>2</v>
      </c>
    </row>
    <row r="5" spans="1:5">
      <c r="A5" s="38" t="s">
        <v>94</v>
      </c>
      <c r="B5" s="46">
        <v>1.5</v>
      </c>
      <c r="C5" s="46">
        <v>1</v>
      </c>
      <c r="D5" s="46">
        <v>4</v>
      </c>
      <c r="E5" s="46">
        <v>1</v>
      </c>
    </row>
    <row r="6" spans="1:5">
      <c r="A6" s="38" t="s">
        <v>95</v>
      </c>
      <c r="B6" s="46">
        <v>1.5</v>
      </c>
      <c r="C6" s="46">
        <v>1.5</v>
      </c>
      <c r="D6" s="46">
        <v>1</v>
      </c>
      <c r="E6" s="46">
        <v>2</v>
      </c>
    </row>
    <row r="7" spans="1:5">
      <c r="A7" s="39" t="s">
        <v>96</v>
      </c>
      <c r="B7" s="46">
        <v>1</v>
      </c>
      <c r="C7" s="46">
        <v>1</v>
      </c>
      <c r="D7" s="46">
        <v>1</v>
      </c>
      <c r="E7" s="46">
        <v>1</v>
      </c>
    </row>
    <row r="8" spans="1:5">
      <c r="A8" s="39" t="s">
        <v>97</v>
      </c>
      <c r="B8" s="46">
        <v>3.5</v>
      </c>
      <c r="C8" s="46">
        <v>3.5</v>
      </c>
      <c r="D8" s="46">
        <v>1.5</v>
      </c>
      <c r="E8" s="46">
        <v>1</v>
      </c>
    </row>
    <row r="9" spans="1:5">
      <c r="A9" s="39" t="s">
        <v>98</v>
      </c>
      <c r="B9" s="46">
        <v>4</v>
      </c>
      <c r="C9" s="46">
        <v>2</v>
      </c>
      <c r="D9" s="46">
        <v>1</v>
      </c>
      <c r="E9" s="46">
        <v>1</v>
      </c>
    </row>
    <row r="10" spans="1:5">
      <c r="A10" s="39" t="s">
        <v>99</v>
      </c>
      <c r="B10" s="46">
        <v>1</v>
      </c>
      <c r="C10" s="46">
        <v>4</v>
      </c>
      <c r="D10" s="46">
        <v>1</v>
      </c>
      <c r="E10" s="46">
        <v>1</v>
      </c>
    </row>
    <row r="11" spans="1:5">
      <c r="A11" s="39" t="s">
        <v>100</v>
      </c>
      <c r="B11" s="46">
        <v>3.5</v>
      </c>
      <c r="C11" s="46">
        <v>4</v>
      </c>
      <c r="D11" s="46">
        <v>2.5</v>
      </c>
      <c r="E11" s="46">
        <v>1</v>
      </c>
    </row>
    <row r="12" spans="1:5">
      <c r="A12" s="39" t="s">
        <v>101</v>
      </c>
      <c r="B12" s="46">
        <v>1.5</v>
      </c>
      <c r="C12" s="46">
        <v>1</v>
      </c>
      <c r="D12" s="46">
        <v>4</v>
      </c>
      <c r="E12" s="46">
        <v>1</v>
      </c>
    </row>
    <row r="13" spans="1:5">
      <c r="A13" s="39" t="s">
        <v>102</v>
      </c>
      <c r="B13" s="46">
        <v>2</v>
      </c>
      <c r="C13" s="46">
        <v>1</v>
      </c>
      <c r="D13" s="46">
        <v>1</v>
      </c>
      <c r="E13" s="46">
        <v>1</v>
      </c>
    </row>
    <row r="14" spans="1:5">
      <c r="A14" s="39" t="s">
        <v>103</v>
      </c>
      <c r="B14" s="46">
        <v>1</v>
      </c>
      <c r="C14" s="46">
        <v>1.5</v>
      </c>
      <c r="D14" s="46">
        <v>1</v>
      </c>
      <c r="E14" s="46">
        <v>3.5</v>
      </c>
    </row>
    <row r="15" spans="1:5">
      <c r="A15" s="39" t="s">
        <v>104</v>
      </c>
      <c r="B15" s="46">
        <v>1</v>
      </c>
      <c r="C15" s="46">
        <v>1</v>
      </c>
      <c r="D15" s="46">
        <v>1.5</v>
      </c>
      <c r="E15" s="46">
        <v>4</v>
      </c>
    </row>
    <row r="16" spans="1:5">
      <c r="A16" s="39" t="s">
        <v>105</v>
      </c>
      <c r="B16" s="46">
        <v>1</v>
      </c>
      <c r="C16" s="46">
        <v>1</v>
      </c>
      <c r="D16" s="46">
        <v>3.5</v>
      </c>
      <c r="E16" s="46">
        <v>1.5</v>
      </c>
    </row>
    <row r="17" spans="1:5">
      <c r="A17" s="39" t="s">
        <v>106</v>
      </c>
      <c r="B17" s="46">
        <v>1</v>
      </c>
      <c r="C17" s="46">
        <v>1</v>
      </c>
      <c r="D17" s="46">
        <v>1</v>
      </c>
      <c r="E17" s="46">
        <v>4</v>
      </c>
    </row>
    <row r="18" spans="1:5">
      <c r="A18" s="39" t="s">
        <v>107</v>
      </c>
      <c r="B18" s="46">
        <v>1</v>
      </c>
      <c r="C18" s="46">
        <v>1.5</v>
      </c>
      <c r="D18" s="46">
        <v>1</v>
      </c>
      <c r="E18" s="46">
        <v>2.5</v>
      </c>
    </row>
    <row r="19" spans="1:5">
      <c r="A19" s="39" t="s">
        <v>108</v>
      </c>
      <c r="B19" s="46">
        <v>1</v>
      </c>
      <c r="C19" s="46">
        <v>1</v>
      </c>
      <c r="D19" s="46">
        <v>1</v>
      </c>
      <c r="E19" s="46">
        <v>2.5</v>
      </c>
    </row>
    <row r="20" spans="1:5">
      <c r="A20" s="39" t="s">
        <v>109</v>
      </c>
      <c r="B20" s="46">
        <v>1</v>
      </c>
      <c r="C20" s="46">
        <v>1</v>
      </c>
      <c r="D20" s="46">
        <v>1</v>
      </c>
      <c r="E20" s="46">
        <v>1</v>
      </c>
    </row>
    <row r="21" spans="1:5">
      <c r="A21" s="38" t="s">
        <v>110</v>
      </c>
      <c r="B21" s="46">
        <v>4</v>
      </c>
      <c r="C21" s="46">
        <v>2</v>
      </c>
      <c r="D21" s="46">
        <v>1.5</v>
      </c>
      <c r="E21" s="46">
        <v>1.5</v>
      </c>
    </row>
    <row r="22" spans="1:5">
      <c r="A22" s="38" t="s">
        <v>111</v>
      </c>
      <c r="B22" s="46">
        <v>1</v>
      </c>
      <c r="C22" s="46">
        <v>1</v>
      </c>
      <c r="D22" s="46">
        <v>1.5</v>
      </c>
      <c r="E22" s="46">
        <v>1</v>
      </c>
    </row>
    <row r="23" spans="1:5">
      <c r="A23" s="38" t="s">
        <v>112</v>
      </c>
      <c r="B23" s="46">
        <v>1</v>
      </c>
      <c r="C23" s="46">
        <v>1</v>
      </c>
      <c r="D23" s="46">
        <v>1.5</v>
      </c>
      <c r="E23" s="46">
        <v>1</v>
      </c>
    </row>
    <row r="24" spans="1:5">
      <c r="A24" s="38" t="s">
        <v>113</v>
      </c>
      <c r="B24" s="46">
        <v>1</v>
      </c>
      <c r="C24" s="46">
        <v>1</v>
      </c>
      <c r="D24" s="46">
        <v>1</v>
      </c>
      <c r="E24" s="46">
        <v>3</v>
      </c>
    </row>
    <row r="25" spans="1:5">
      <c r="A25" s="38" t="s">
        <v>114</v>
      </c>
      <c r="B25" s="46">
        <v>4</v>
      </c>
      <c r="C25" s="46">
        <v>2</v>
      </c>
      <c r="D25" s="46">
        <v>1</v>
      </c>
      <c r="E25" s="46">
        <v>1.5</v>
      </c>
    </row>
    <row r="26" spans="1:5">
      <c r="A26" s="38" t="s">
        <v>115</v>
      </c>
      <c r="B26" s="46">
        <v>2</v>
      </c>
      <c r="C26" s="46">
        <v>2</v>
      </c>
      <c r="D26" s="46">
        <v>1</v>
      </c>
      <c r="E26" s="46">
        <v>1.5</v>
      </c>
    </row>
    <row r="27" spans="1:5">
      <c r="A27" s="38" t="s">
        <v>116</v>
      </c>
      <c r="B27" s="46">
        <v>1.5</v>
      </c>
      <c r="C27" s="46">
        <v>2</v>
      </c>
      <c r="D27" s="46">
        <v>1</v>
      </c>
      <c r="E27" s="46">
        <v>1.5</v>
      </c>
    </row>
    <row r="28" spans="1:5">
      <c r="A28" s="38" t="s">
        <v>117</v>
      </c>
      <c r="B28" s="46">
        <v>1</v>
      </c>
      <c r="C28" s="46">
        <v>3.5</v>
      </c>
      <c r="D28" s="46">
        <v>1</v>
      </c>
      <c r="E28" s="46">
        <v>1</v>
      </c>
    </row>
    <row r="29" spans="1:5">
      <c r="A29" s="38" t="s">
        <v>118</v>
      </c>
      <c r="B29" s="46">
        <v>1</v>
      </c>
      <c r="C29" s="46">
        <v>1</v>
      </c>
      <c r="D29" s="46">
        <v>1</v>
      </c>
      <c r="E29" s="46">
        <v>1</v>
      </c>
    </row>
    <row r="30" spans="1:5">
      <c r="A30" s="38" t="s">
        <v>119</v>
      </c>
      <c r="B30" s="46">
        <v>1</v>
      </c>
      <c r="C30" s="46">
        <v>1</v>
      </c>
      <c r="D30" s="46">
        <v>1</v>
      </c>
      <c r="E30" s="46">
        <v>1</v>
      </c>
    </row>
    <row r="31" spans="1:5">
      <c r="A31" s="38" t="s">
        <v>120</v>
      </c>
      <c r="B31" s="46">
        <v>3.5</v>
      </c>
      <c r="C31" s="46">
        <v>3</v>
      </c>
      <c r="D31" s="46">
        <v>1.5</v>
      </c>
      <c r="E31" s="46">
        <v>1</v>
      </c>
    </row>
    <row r="32" spans="1:5">
      <c r="A32" s="39" t="s">
        <v>121</v>
      </c>
      <c r="B32" s="46">
        <v>1</v>
      </c>
      <c r="C32" s="46">
        <v>1</v>
      </c>
      <c r="D32" s="46">
        <v>1</v>
      </c>
      <c r="E32" s="46">
        <v>1.5</v>
      </c>
    </row>
    <row r="33" spans="1:5">
      <c r="A33" s="39" t="s">
        <v>122</v>
      </c>
      <c r="B33" s="46">
        <v>1</v>
      </c>
      <c r="C33" s="46">
        <v>1</v>
      </c>
      <c r="D33" s="46">
        <v>1</v>
      </c>
      <c r="E33" s="46">
        <v>4</v>
      </c>
    </row>
    <row r="34" spans="1:5">
      <c r="A34" s="39" t="s">
        <v>123</v>
      </c>
      <c r="B34" s="46">
        <v>1</v>
      </c>
      <c r="C34" s="46">
        <v>1</v>
      </c>
      <c r="D34" s="46">
        <v>1</v>
      </c>
      <c r="E34" s="46">
        <v>3</v>
      </c>
    </row>
    <row r="35" spans="1:5">
      <c r="A35" s="39" t="s">
        <v>124</v>
      </c>
      <c r="B35" s="46">
        <v>1</v>
      </c>
      <c r="C35" s="46">
        <v>1</v>
      </c>
      <c r="D35" s="46">
        <v>1</v>
      </c>
      <c r="E35" s="46">
        <v>4</v>
      </c>
    </row>
    <row r="36" spans="1:5">
      <c r="A36" s="39" t="s">
        <v>125</v>
      </c>
      <c r="B36" s="46">
        <v>1</v>
      </c>
      <c r="C36" s="46">
        <v>1</v>
      </c>
      <c r="D36" s="46">
        <v>1</v>
      </c>
      <c r="E36" s="46">
        <v>2.5</v>
      </c>
    </row>
    <row r="37" spans="1:5">
      <c r="A37" s="39" t="s">
        <v>126</v>
      </c>
      <c r="B37" s="46">
        <v>1</v>
      </c>
      <c r="C37" s="46">
        <v>1</v>
      </c>
      <c r="D37" s="46">
        <v>1</v>
      </c>
      <c r="E37" s="46">
        <v>1.5</v>
      </c>
    </row>
    <row r="38" spans="1:5">
      <c r="A38" s="38" t="s">
        <v>127</v>
      </c>
      <c r="B38" s="46">
        <v>1</v>
      </c>
      <c r="C38" s="46">
        <v>1</v>
      </c>
      <c r="D38" s="46">
        <v>1</v>
      </c>
      <c r="E38" s="46">
        <v>1</v>
      </c>
    </row>
    <row r="39" spans="1:5">
      <c r="A39" s="38" t="s">
        <v>128</v>
      </c>
      <c r="B39" s="46">
        <v>1</v>
      </c>
      <c r="C39" s="46">
        <v>1</v>
      </c>
      <c r="D39" s="46">
        <v>1</v>
      </c>
      <c r="E39" s="46">
        <v>1</v>
      </c>
    </row>
    <row r="40" spans="1:5">
      <c r="A40" s="38" t="s">
        <v>129</v>
      </c>
      <c r="B40" s="46">
        <v>1</v>
      </c>
      <c r="C40" s="46">
        <v>1</v>
      </c>
      <c r="D40" s="46">
        <v>1</v>
      </c>
      <c r="E40" s="46">
        <v>1</v>
      </c>
    </row>
    <row r="41" spans="1:5">
      <c r="A41" s="38" t="s">
        <v>130</v>
      </c>
      <c r="B41" s="46">
        <v>1</v>
      </c>
      <c r="C41" s="46">
        <v>1</v>
      </c>
      <c r="D41" s="46">
        <v>1</v>
      </c>
      <c r="E41" s="46">
        <v>1</v>
      </c>
    </row>
  </sheetData>
  <sheetProtection algorithmName="SHA-512" hashValue="Kwk5nVYdZ2kJ7lrrBP30abnV64uGw437q8S8gG/rrf4HAVIMa3qiAj1d+Dvl0QnqTOceHCQ5RRpzxuOXlQ2Hjw==" saltValue="qTq/Zslmn2dPLsFMpChKyQ==" spinCount="100000" sheet="1" objects="1" scenarios="1" selectLockedCells="1" selectUnlockedCells="1"/>
  <conditionalFormatting sqref="B2:E41">
    <cfRule type="cellIs" dxfId="29" priority="1" stopIfTrue="1" operator="greaterThanOrEqual">
      <formula>3</formula>
    </cfRule>
    <cfRule type="cellIs" dxfId="28" priority="2" stopIfTrue="1" operator="greaterThanOrEqual">
      <formula>2</formula>
    </cfRule>
    <cfRule type="cellIs" dxfId="27" priority="3" operator="greaterThanOrEqual">
      <formula>1</formula>
    </cfRule>
  </conditionalFormatting>
  <pageMargins left="0.25" right="0.25" top="0.75" bottom="0.75" header="0.3" footer="0.3"/>
  <pageSetup paperSize="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31F8-A4B1-44DF-8008-705015DD12C3}">
  <sheetPr>
    <tabColor theme="9" tint="-0.499984740745262"/>
    <pageSetUpPr fitToPage="1"/>
  </sheetPr>
  <dimension ref="A1:AG70"/>
  <sheetViews>
    <sheetView showGridLines="0" tabSelected="1" zoomScale="85" zoomScaleNormal="85" workbookViewId="0">
      <pane ySplit="2" topLeftCell="A3" activePane="bottomLeft" state="frozen"/>
      <selection pane="bottomLeft" activeCell="E18" sqref="E18"/>
      <selection activeCell="A9" sqref="A9:B9"/>
    </sheetView>
  </sheetViews>
  <sheetFormatPr defaultRowHeight="14.45"/>
  <cols>
    <col min="1" max="1" width="12" customWidth="1"/>
    <col min="2" max="2" width="9.140625" customWidth="1"/>
    <col min="3" max="3" width="9.42578125" customWidth="1"/>
    <col min="4" max="4" width="12" customWidth="1"/>
    <col min="5" max="5" width="10.85546875" customWidth="1"/>
    <col min="6" max="6" width="12.85546875" customWidth="1"/>
    <col min="7" max="7" width="20.5703125" customWidth="1"/>
  </cols>
  <sheetData>
    <row r="1" spans="1:33" s="89" customFormat="1" ht="35.1" customHeight="1">
      <c r="A1" s="204" t="s">
        <v>131</v>
      </c>
      <c r="B1" s="205"/>
      <c r="C1" s="205"/>
      <c r="D1" s="205"/>
      <c r="E1" s="205"/>
      <c r="F1" s="205"/>
      <c r="G1" s="205"/>
      <c r="H1" s="205"/>
      <c r="I1" s="204" t="s">
        <v>131</v>
      </c>
      <c r="J1" s="205"/>
      <c r="K1" s="205"/>
      <c r="L1" s="205"/>
      <c r="M1" s="205"/>
      <c r="N1" s="205"/>
      <c r="O1" s="205"/>
      <c r="P1" s="205"/>
      <c r="Q1" s="205"/>
      <c r="R1" s="205"/>
      <c r="S1" s="205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3" ht="10.5" customHeight="1"/>
    <row r="3" spans="1:33" s="91" customFormat="1" ht="24.95" customHeight="1">
      <c r="A3" s="202" t="s">
        <v>132</v>
      </c>
      <c r="B3" s="202"/>
      <c r="C3" s="202"/>
      <c r="D3" s="202"/>
      <c r="E3" s="202"/>
      <c r="F3" s="202"/>
      <c r="G3" s="202"/>
      <c r="H3" s="202"/>
      <c r="I3" s="202" t="s">
        <v>132</v>
      </c>
      <c r="J3" s="202"/>
      <c r="K3" s="202"/>
      <c r="L3" s="202"/>
      <c r="M3" s="202"/>
      <c r="N3" s="202"/>
      <c r="O3" s="202"/>
      <c r="P3" s="202"/>
      <c r="Q3" s="202"/>
      <c r="R3" s="202"/>
      <c r="S3" s="202"/>
      <c r="T3"/>
      <c r="U3"/>
      <c r="V3"/>
      <c r="W3"/>
      <c r="X3"/>
      <c r="Y3"/>
      <c r="Z3"/>
      <c r="AA3"/>
      <c r="AB3"/>
      <c r="AC3"/>
      <c r="AD3"/>
    </row>
    <row r="4" spans="1:33" ht="6.95" customHeight="1"/>
    <row r="5" spans="1:33" s="115" customFormat="1" ht="26.45" customHeight="1">
      <c r="A5" s="215" t="s">
        <v>71</v>
      </c>
      <c r="B5" s="215"/>
      <c r="C5" s="215"/>
      <c r="D5" s="215"/>
      <c r="E5" s="99" t="s">
        <v>133</v>
      </c>
      <c r="F5" s="99" t="s">
        <v>73</v>
      </c>
      <c r="G5" s="61"/>
      <c r="T5"/>
      <c r="U5"/>
      <c r="V5"/>
    </row>
    <row r="6" spans="1:33" s="34" customFormat="1" ht="18.95" customHeight="1">
      <c r="A6" s="212" t="s">
        <v>134</v>
      </c>
      <c r="B6" s="213"/>
      <c r="C6" s="213"/>
      <c r="D6" s="213"/>
      <c r="E6" s="154">
        <v>2</v>
      </c>
      <c r="F6" s="144">
        <v>3</v>
      </c>
      <c r="T6"/>
      <c r="U6"/>
      <c r="V6"/>
    </row>
    <row r="7" spans="1:33" ht="18.95" customHeight="1">
      <c r="A7" s="212" t="s">
        <v>135</v>
      </c>
      <c r="B7" s="213"/>
      <c r="C7" s="213"/>
      <c r="D7" s="213"/>
      <c r="E7" s="154">
        <v>4</v>
      </c>
      <c r="F7" s="144">
        <v>3</v>
      </c>
    </row>
    <row r="8" spans="1:33" ht="18.95" customHeight="1">
      <c r="A8" s="212" t="s">
        <v>136</v>
      </c>
      <c r="B8" s="213"/>
      <c r="C8" s="213"/>
      <c r="D8" s="213"/>
      <c r="E8" s="154">
        <v>5</v>
      </c>
      <c r="F8" s="144">
        <v>3</v>
      </c>
    </row>
    <row r="9" spans="1:33" ht="18.95" customHeight="1">
      <c r="A9" s="212" t="s">
        <v>137</v>
      </c>
      <c r="B9" s="213"/>
      <c r="C9" s="213"/>
      <c r="D9" s="213"/>
      <c r="E9" s="154">
        <v>5</v>
      </c>
      <c r="F9" s="144">
        <v>3</v>
      </c>
    </row>
    <row r="10" spans="1:33" ht="18.95" customHeight="1">
      <c r="A10" s="212" t="s">
        <v>138</v>
      </c>
      <c r="B10" s="213"/>
      <c r="C10" s="213"/>
      <c r="D10" s="213"/>
      <c r="E10" s="154">
        <v>3</v>
      </c>
      <c r="F10" s="144">
        <v>3</v>
      </c>
    </row>
    <row r="11" spans="1:33" ht="18.95" customHeight="1">
      <c r="A11" s="212" t="s">
        <v>139</v>
      </c>
      <c r="B11" s="213"/>
      <c r="C11" s="213"/>
      <c r="D11" s="213"/>
      <c r="E11" s="154">
        <v>5</v>
      </c>
      <c r="F11" s="144">
        <v>3</v>
      </c>
    </row>
    <row r="12" spans="1:33" ht="18.95" customHeight="1">
      <c r="A12" s="212" t="s">
        <v>140</v>
      </c>
      <c r="B12" s="213"/>
      <c r="C12" s="213"/>
      <c r="D12" s="213"/>
      <c r="E12" s="154">
        <v>4</v>
      </c>
      <c r="F12" s="144">
        <v>3</v>
      </c>
    </row>
    <row r="13" spans="1:33" ht="27" customHeight="1">
      <c r="A13" s="212" t="s">
        <v>141</v>
      </c>
      <c r="B13" s="213"/>
      <c r="C13" s="213"/>
      <c r="D13" s="213"/>
      <c r="E13" s="154">
        <v>3</v>
      </c>
      <c r="F13" s="144">
        <v>3</v>
      </c>
    </row>
    <row r="14" spans="1:33" ht="18.95" customHeight="1">
      <c r="A14" s="212" t="s">
        <v>142</v>
      </c>
      <c r="B14" s="213"/>
      <c r="C14" s="213"/>
      <c r="D14" s="213"/>
      <c r="E14" s="154">
        <v>4</v>
      </c>
      <c r="F14" s="144">
        <v>3</v>
      </c>
    </row>
    <row r="15" spans="1:33" ht="18.95" customHeight="1">
      <c r="A15" s="212" t="s">
        <v>143</v>
      </c>
      <c r="B15" s="213"/>
      <c r="C15" s="213"/>
      <c r="D15" s="213"/>
      <c r="E15" s="154">
        <v>5</v>
      </c>
      <c r="F15" s="144">
        <v>3</v>
      </c>
    </row>
    <row r="16" spans="1:33" ht="18.95" customHeight="1">
      <c r="A16" s="212" t="s">
        <v>144</v>
      </c>
      <c r="B16" s="213"/>
      <c r="C16" s="213"/>
      <c r="D16" s="213"/>
      <c r="E16" s="154">
        <v>4</v>
      </c>
      <c r="F16" s="144">
        <v>3</v>
      </c>
    </row>
    <row r="17" spans="1:30" ht="18.95" customHeight="1">
      <c r="A17" s="212" t="s">
        <v>145</v>
      </c>
      <c r="B17" s="213"/>
      <c r="C17" s="213"/>
      <c r="D17" s="213"/>
      <c r="E17" s="154">
        <v>3</v>
      </c>
      <c r="F17" s="144">
        <v>3</v>
      </c>
    </row>
    <row r="18" spans="1:30" ht="18.95" customHeight="1">
      <c r="A18" s="212" t="s">
        <v>146</v>
      </c>
      <c r="B18" s="213"/>
      <c r="C18" s="213"/>
      <c r="D18" s="213"/>
      <c r="E18" s="154">
        <v>2</v>
      </c>
      <c r="F18" s="145">
        <v>3</v>
      </c>
    </row>
    <row r="20" spans="1:30">
      <c r="E20" s="123" t="s">
        <v>78</v>
      </c>
      <c r="F20" s="86">
        <f>AVERAGE(E6:E18)</f>
        <v>3.7692307692307692</v>
      </c>
    </row>
    <row r="21" spans="1:30" s="33" customFormat="1">
      <c r="E21" s="123" t="s">
        <v>79</v>
      </c>
      <c r="F21" s="86">
        <f>STDEVP(E6:E18)</f>
        <v>1.0490908997681427</v>
      </c>
      <c r="T21"/>
      <c r="U21"/>
      <c r="V21"/>
    </row>
    <row r="22" spans="1:30" s="33" customFormat="1">
      <c r="E22" s="123" t="s">
        <v>80</v>
      </c>
      <c r="F22" s="86">
        <f>AVERAGE(F6:F18)/F20</f>
        <v>0.79591836734693877</v>
      </c>
      <c r="T22"/>
      <c r="U22"/>
      <c r="V22"/>
    </row>
    <row r="23" spans="1:30" s="33" customFormat="1">
      <c r="T23"/>
      <c r="U23"/>
      <c r="V23"/>
    </row>
    <row r="24" spans="1:30" s="33" customFormat="1" ht="132.6" customHeight="1">
      <c r="E24" s="109"/>
      <c r="F24" s="110"/>
      <c r="T24"/>
      <c r="U24"/>
      <c r="V24"/>
    </row>
    <row r="25" spans="1:30" s="33" customFormat="1" ht="202.5" customHeight="1">
      <c r="E25" s="109"/>
      <c r="F25" s="110"/>
      <c r="T25"/>
      <c r="U25"/>
      <c r="V25"/>
    </row>
    <row r="26" spans="1:30" s="33" customFormat="1">
      <c r="E26" s="109"/>
      <c r="F26" s="110"/>
      <c r="T26"/>
      <c r="U26"/>
      <c r="V26"/>
    </row>
    <row r="27" spans="1:30" s="32" customFormat="1" ht="24.95" customHeight="1">
      <c r="A27" s="207" t="s">
        <v>81</v>
      </c>
      <c r="B27" s="207"/>
      <c r="C27" s="207"/>
      <c r="D27" s="207"/>
      <c r="E27" s="207"/>
      <c r="F27" s="207"/>
      <c r="G27" s="207"/>
      <c r="H27" s="207"/>
      <c r="I27" s="207" t="s">
        <v>81</v>
      </c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/>
      <c r="U27"/>
      <c r="V27"/>
      <c r="W27"/>
      <c r="X27"/>
      <c r="Y27"/>
      <c r="Z27"/>
      <c r="AA27"/>
      <c r="AB27"/>
      <c r="AC27"/>
      <c r="AD27"/>
    </row>
    <row r="28" spans="1:30" ht="9" customHeight="1"/>
    <row r="29" spans="1:30" s="32" customFormat="1" ht="27.6" customHeight="1">
      <c r="A29" s="214" t="s">
        <v>147</v>
      </c>
      <c r="B29" s="214"/>
      <c r="C29" s="214"/>
      <c r="D29" s="214"/>
      <c r="E29"/>
      <c r="F29"/>
      <c r="G29"/>
      <c r="T29"/>
      <c r="U29"/>
      <c r="V29"/>
    </row>
    <row r="30" spans="1:30" s="32" customFormat="1" ht="44.45" customHeight="1">
      <c r="A30" s="93" t="s">
        <v>83</v>
      </c>
      <c r="B30" s="94" t="s">
        <v>84</v>
      </c>
      <c r="C30" s="94" t="s">
        <v>85</v>
      </c>
      <c r="D30" s="94" t="s">
        <v>86</v>
      </c>
      <c r="T30"/>
      <c r="U30"/>
      <c r="V30"/>
    </row>
    <row r="31" spans="1:30">
      <c r="A31" s="27" t="s">
        <v>91</v>
      </c>
      <c r="B31" s="132">
        <f>DF2map!C$48</f>
        <v>115</v>
      </c>
      <c r="C31" s="142">
        <v>99</v>
      </c>
      <c r="D31" s="129">
        <f t="shared" ref="D31:D70" si="0">IFERROR(MROUND(($F$22*100*B31/C31),5)-100,0)</f>
        <v>-10</v>
      </c>
    </row>
    <row r="32" spans="1:30">
      <c r="A32" s="27" t="s">
        <v>92</v>
      </c>
      <c r="B32" s="132">
        <f>DF2map!D$48</f>
        <v>106</v>
      </c>
      <c r="C32" s="142">
        <v>114</v>
      </c>
      <c r="D32" s="129">
        <f t="shared" si="0"/>
        <v>-25</v>
      </c>
      <c r="I32" s="1"/>
    </row>
    <row r="33" spans="1:4">
      <c r="A33" s="27" t="s">
        <v>93</v>
      </c>
      <c r="B33" s="132">
        <f>DF2map!E$48</f>
        <v>94</v>
      </c>
      <c r="C33" s="142">
        <v>63</v>
      </c>
      <c r="D33" s="129">
        <f t="shared" si="0"/>
        <v>20</v>
      </c>
    </row>
    <row r="34" spans="1:4">
      <c r="A34" s="27" t="s">
        <v>94</v>
      </c>
      <c r="B34" s="132">
        <f>DF2map!F$48</f>
        <v>121</v>
      </c>
      <c r="C34" s="142">
        <v>129</v>
      </c>
      <c r="D34" s="129">
        <f t="shared" si="0"/>
        <v>-25</v>
      </c>
    </row>
    <row r="35" spans="1:4">
      <c r="A35" s="27" t="s">
        <v>95</v>
      </c>
      <c r="B35" s="132">
        <f>DF2map!G$48</f>
        <v>92</v>
      </c>
      <c r="C35" s="142">
        <v>63</v>
      </c>
      <c r="D35" s="129">
        <f t="shared" si="0"/>
        <v>15</v>
      </c>
    </row>
    <row r="36" spans="1:4">
      <c r="A36" s="28" t="s">
        <v>96</v>
      </c>
      <c r="B36" s="132">
        <f>DF2map!H$48</f>
        <v>213</v>
      </c>
      <c r="C36" s="142">
        <v>180</v>
      </c>
      <c r="D36" s="129">
        <f t="shared" si="0"/>
        <v>-5</v>
      </c>
    </row>
    <row r="37" spans="1:4">
      <c r="A37" s="28" t="s">
        <v>97</v>
      </c>
      <c r="B37" s="132">
        <f>DF2map!I$48</f>
        <v>127</v>
      </c>
      <c r="C37" s="142">
        <v>132</v>
      </c>
      <c r="D37" s="129">
        <f t="shared" si="0"/>
        <v>-25</v>
      </c>
    </row>
    <row r="38" spans="1:4">
      <c r="A38" s="28" t="s">
        <v>98</v>
      </c>
      <c r="B38" s="132">
        <f>DF2map!J$48</f>
        <v>132</v>
      </c>
      <c r="C38" s="142">
        <v>135</v>
      </c>
      <c r="D38" s="129">
        <f t="shared" si="0"/>
        <v>-20</v>
      </c>
    </row>
    <row r="39" spans="1:4">
      <c r="A39" s="28" t="s">
        <v>99</v>
      </c>
      <c r="B39" s="132">
        <f>DF2map!K$48</f>
        <v>109</v>
      </c>
      <c r="C39" s="142">
        <v>120</v>
      </c>
      <c r="D39" s="129">
        <f t="shared" si="0"/>
        <v>-30</v>
      </c>
    </row>
    <row r="40" spans="1:4">
      <c r="A40" s="28" t="s">
        <v>100</v>
      </c>
      <c r="B40" s="132">
        <f>DF2map!L$48</f>
        <v>135</v>
      </c>
      <c r="C40" s="142">
        <v>141</v>
      </c>
      <c r="D40" s="129">
        <f t="shared" si="0"/>
        <v>-25</v>
      </c>
    </row>
    <row r="41" spans="1:4">
      <c r="A41" s="28" t="s">
        <v>101</v>
      </c>
      <c r="B41" s="132">
        <f>DF2map!M$48</f>
        <v>136</v>
      </c>
      <c r="C41" s="142">
        <v>117</v>
      </c>
      <c r="D41" s="129">
        <f t="shared" si="0"/>
        <v>-5</v>
      </c>
    </row>
    <row r="42" spans="1:4">
      <c r="A42" s="28" t="s">
        <v>102</v>
      </c>
      <c r="B42" s="132">
        <f>DF2map!N$48</f>
        <v>106</v>
      </c>
      <c r="C42" s="142">
        <v>108</v>
      </c>
      <c r="D42" s="129">
        <f t="shared" si="0"/>
        <v>-20</v>
      </c>
    </row>
    <row r="43" spans="1:4">
      <c r="A43" s="28" t="s">
        <v>103</v>
      </c>
      <c r="B43" s="132">
        <f>DF2map!O$48</f>
        <v>180</v>
      </c>
      <c r="C43" s="142">
        <v>189</v>
      </c>
      <c r="D43" s="129">
        <f t="shared" si="0"/>
        <v>-25</v>
      </c>
    </row>
    <row r="44" spans="1:4">
      <c r="A44" s="28" t="s">
        <v>104</v>
      </c>
      <c r="B44" s="132">
        <f>DF2map!P$48</f>
        <v>62</v>
      </c>
      <c r="C44" s="142">
        <v>63</v>
      </c>
      <c r="D44" s="129">
        <f t="shared" si="0"/>
        <v>-20</v>
      </c>
    </row>
    <row r="45" spans="1:4">
      <c r="A45" s="28" t="s">
        <v>105</v>
      </c>
      <c r="B45" s="132">
        <f>DF2map!Q$48</f>
        <v>73</v>
      </c>
      <c r="C45" s="142">
        <v>78</v>
      </c>
      <c r="D45" s="129">
        <f t="shared" si="0"/>
        <v>-25</v>
      </c>
    </row>
    <row r="46" spans="1:4">
      <c r="A46" s="28" t="s">
        <v>106</v>
      </c>
      <c r="B46" s="132">
        <f>DF2map!R$48</f>
        <v>150</v>
      </c>
      <c r="C46" s="142">
        <v>132</v>
      </c>
      <c r="D46" s="129">
        <f t="shared" si="0"/>
        <v>-10</v>
      </c>
    </row>
    <row r="47" spans="1:4">
      <c r="A47" s="28" t="s">
        <v>107</v>
      </c>
      <c r="B47" s="132">
        <f>DF2map!S$48</f>
        <v>54</v>
      </c>
      <c r="C47" s="142">
        <v>36</v>
      </c>
      <c r="D47" s="129">
        <f t="shared" si="0"/>
        <v>20</v>
      </c>
    </row>
    <row r="48" spans="1:4">
      <c r="A48" s="28" t="s">
        <v>108</v>
      </c>
      <c r="B48" s="132">
        <f>DF2map!T$48</f>
        <v>59</v>
      </c>
      <c r="C48" s="142">
        <v>39</v>
      </c>
      <c r="D48" s="129">
        <f t="shared" si="0"/>
        <v>20</v>
      </c>
    </row>
    <row r="49" spans="1:4">
      <c r="A49" s="28" t="s">
        <v>109</v>
      </c>
      <c r="B49" s="132">
        <f>DF2map!U$48</f>
        <v>115</v>
      </c>
      <c r="C49" s="142">
        <v>78</v>
      </c>
      <c r="D49" s="129">
        <f t="shared" si="0"/>
        <v>15</v>
      </c>
    </row>
    <row r="50" spans="1:4">
      <c r="A50" s="27" t="s">
        <v>110</v>
      </c>
      <c r="B50" s="132">
        <f>DF2map!V$48</f>
        <v>121</v>
      </c>
      <c r="C50" s="142">
        <v>129</v>
      </c>
      <c r="D50" s="129">
        <f t="shared" si="0"/>
        <v>-25</v>
      </c>
    </row>
    <row r="51" spans="1:4">
      <c r="A51" s="27" t="s">
        <v>111</v>
      </c>
      <c r="B51" s="132">
        <f>DF2map!W$48</f>
        <v>167</v>
      </c>
      <c r="C51" s="142">
        <v>174</v>
      </c>
      <c r="D51" s="129">
        <f t="shared" si="0"/>
        <v>-25</v>
      </c>
    </row>
    <row r="52" spans="1:4">
      <c r="A52" s="27" t="s">
        <v>112</v>
      </c>
      <c r="B52" s="132">
        <f>DF2map!X$48</f>
        <v>154</v>
      </c>
      <c r="C52" s="142">
        <v>165</v>
      </c>
      <c r="D52" s="129">
        <f t="shared" si="0"/>
        <v>-25</v>
      </c>
    </row>
    <row r="53" spans="1:4">
      <c r="A53" s="27" t="s">
        <v>113</v>
      </c>
      <c r="B53" s="132">
        <f>DF2map!Y$48</f>
        <v>72</v>
      </c>
      <c r="C53" s="142">
        <v>69</v>
      </c>
      <c r="D53" s="129">
        <f t="shared" si="0"/>
        <v>-15</v>
      </c>
    </row>
    <row r="54" spans="1:4">
      <c r="A54" s="27" t="s">
        <v>114</v>
      </c>
      <c r="B54" s="132">
        <f>DF2map!Z$48</f>
        <v>178</v>
      </c>
      <c r="C54" s="142">
        <v>183</v>
      </c>
      <c r="D54" s="129">
        <f t="shared" si="0"/>
        <v>-25</v>
      </c>
    </row>
    <row r="55" spans="1:4">
      <c r="A55" s="27" t="s">
        <v>115</v>
      </c>
      <c r="B55" s="132">
        <f>DF2map!AA$48</f>
        <v>87</v>
      </c>
      <c r="C55" s="142">
        <v>90</v>
      </c>
      <c r="D55" s="129">
        <f t="shared" si="0"/>
        <v>-25</v>
      </c>
    </row>
    <row r="56" spans="1:4">
      <c r="A56" s="27" t="s">
        <v>116</v>
      </c>
      <c r="B56" s="132">
        <f>DF2map!AB$48</f>
        <v>65</v>
      </c>
      <c r="C56" s="142">
        <v>69</v>
      </c>
      <c r="D56" s="129">
        <f t="shared" si="0"/>
        <v>-25</v>
      </c>
    </row>
    <row r="57" spans="1:4">
      <c r="A57" s="27" t="s">
        <v>117</v>
      </c>
      <c r="B57" s="132">
        <f>DF2map!AC$48</f>
        <v>129</v>
      </c>
      <c r="C57" s="142">
        <v>135</v>
      </c>
      <c r="D57" s="129">
        <f t="shared" si="0"/>
        <v>-25</v>
      </c>
    </row>
    <row r="58" spans="1:4">
      <c r="A58" s="27" t="s">
        <v>118</v>
      </c>
      <c r="B58" s="132">
        <f>DF2map!AD$48</f>
        <v>74</v>
      </c>
      <c r="C58" s="142">
        <v>51</v>
      </c>
      <c r="D58" s="129">
        <f t="shared" si="0"/>
        <v>15</v>
      </c>
    </row>
    <row r="59" spans="1:4">
      <c r="A59" s="27" t="s">
        <v>119</v>
      </c>
      <c r="B59" s="132">
        <f>DF2map!AE$48</f>
        <v>18</v>
      </c>
      <c r="C59" s="142">
        <v>18</v>
      </c>
      <c r="D59" s="129">
        <f t="shared" si="0"/>
        <v>-20</v>
      </c>
    </row>
    <row r="60" spans="1:4">
      <c r="A60" s="27" t="s">
        <v>120</v>
      </c>
      <c r="B60" s="132">
        <f>DF2map!AF$48</f>
        <v>128</v>
      </c>
      <c r="C60" s="142">
        <v>138</v>
      </c>
      <c r="D60" s="129">
        <f t="shared" si="0"/>
        <v>-25</v>
      </c>
    </row>
    <row r="61" spans="1:4">
      <c r="A61" s="28" t="s">
        <v>121</v>
      </c>
      <c r="B61" s="132">
        <f>DF2map!AG$48</f>
        <v>62</v>
      </c>
      <c r="C61" s="142">
        <v>63</v>
      </c>
      <c r="D61" s="129">
        <f t="shared" si="0"/>
        <v>-20</v>
      </c>
    </row>
    <row r="62" spans="1:4">
      <c r="A62" s="28" t="s">
        <v>122</v>
      </c>
      <c r="B62" s="132">
        <f>DF2map!AH$48</f>
        <v>63</v>
      </c>
      <c r="C62" s="142">
        <v>54</v>
      </c>
      <c r="D62" s="129">
        <f t="shared" si="0"/>
        <v>-5</v>
      </c>
    </row>
    <row r="63" spans="1:4">
      <c r="A63" s="28" t="s">
        <v>123</v>
      </c>
      <c r="B63" s="132">
        <f>DF2map!AI$48</f>
        <v>63</v>
      </c>
      <c r="C63" s="142">
        <v>54</v>
      </c>
      <c r="D63" s="129">
        <f t="shared" si="0"/>
        <v>-5</v>
      </c>
    </row>
    <row r="64" spans="1:4">
      <c r="A64" s="28" t="s">
        <v>124</v>
      </c>
      <c r="B64" s="132">
        <f>DF2map!AJ$48</f>
        <v>63</v>
      </c>
      <c r="C64" s="142">
        <v>54</v>
      </c>
      <c r="D64" s="129">
        <f t="shared" si="0"/>
        <v>-5</v>
      </c>
    </row>
    <row r="65" spans="1:4">
      <c r="A65" s="28" t="s">
        <v>125</v>
      </c>
      <c r="B65" s="132">
        <f>DF2map!AK$48</f>
        <v>112</v>
      </c>
      <c r="C65" s="142">
        <v>81</v>
      </c>
      <c r="D65" s="129">
        <f t="shared" si="0"/>
        <v>10</v>
      </c>
    </row>
    <row r="66" spans="1:4">
      <c r="A66" s="28" t="s">
        <v>126</v>
      </c>
      <c r="B66" s="132">
        <f>DF2map!AL$48</f>
        <v>119</v>
      </c>
      <c r="C66" s="142">
        <v>105</v>
      </c>
      <c r="D66" s="129">
        <f t="shared" si="0"/>
        <v>-10</v>
      </c>
    </row>
    <row r="67" spans="1:4">
      <c r="A67" s="27" t="s">
        <v>127</v>
      </c>
      <c r="B67" s="132">
        <f>DF2map!AM$48</f>
        <v>160</v>
      </c>
      <c r="C67" s="142">
        <v>135</v>
      </c>
      <c r="D67" s="129">
        <f t="shared" si="0"/>
        <v>-5</v>
      </c>
    </row>
    <row r="68" spans="1:4">
      <c r="A68" s="27" t="s">
        <v>128</v>
      </c>
      <c r="B68" s="132">
        <f>DF2map!AN$48</f>
        <v>177</v>
      </c>
      <c r="C68" s="142">
        <v>135</v>
      </c>
      <c r="D68" s="129">
        <f t="shared" si="0"/>
        <v>5</v>
      </c>
    </row>
    <row r="69" spans="1:4">
      <c r="A69" s="27" t="s">
        <v>129</v>
      </c>
      <c r="B69" s="132">
        <f>DF2map!AO$48</f>
        <v>58</v>
      </c>
      <c r="C69" s="142">
        <v>39</v>
      </c>
      <c r="D69" s="129">
        <f t="shared" si="0"/>
        <v>20</v>
      </c>
    </row>
    <row r="70" spans="1:4">
      <c r="A70" s="27" t="s">
        <v>130</v>
      </c>
      <c r="B70" s="132">
        <f>DF2map!AP$48</f>
        <v>155</v>
      </c>
      <c r="C70" s="143">
        <v>111</v>
      </c>
      <c r="D70" s="129">
        <f t="shared" si="0"/>
        <v>10</v>
      </c>
    </row>
  </sheetData>
  <sheetProtection algorithmName="SHA-512" hashValue="0OzWuB6B0bqHPt/5zj70oiL9S7f/PFOEuIOHPowpIE/ltg3weiZpOM9xTGDGP44TAAF69r6tNQizm78DUmgcbQ==" saltValue="RSb+sP+bgAiXpp5AiFcBHw==" spinCount="100000" sheet="1" objects="1" scenarios="1"/>
  <mergeCells count="21">
    <mergeCell ref="A27:H27"/>
    <mergeCell ref="I27:S27"/>
    <mergeCell ref="A3:H3"/>
    <mergeCell ref="I3:S3"/>
    <mergeCell ref="A29:D29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:H1"/>
    <mergeCell ref="I1:S1"/>
  </mergeCells>
  <pageMargins left="0.25" right="0.25" top="0.75" bottom="0.75" header="0.3" footer="0.3"/>
  <pageSetup paperSize="5" scale="88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25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2E08-91F0-44E7-A13A-B15542CF4261}">
  <sheetPr>
    <tabColor theme="8" tint="-0.499984740745262"/>
    <pageSetUpPr fitToPage="1"/>
  </sheetPr>
  <dimension ref="A2:AP50"/>
  <sheetViews>
    <sheetView showGridLines="0" zoomScale="85" zoomScaleNormal="85" workbookViewId="0"/>
  </sheetViews>
  <sheetFormatPr defaultRowHeight="14.45"/>
  <cols>
    <col min="2" max="2" width="26" customWidth="1"/>
    <col min="3" max="15" width="16.140625" customWidth="1"/>
  </cols>
  <sheetData>
    <row r="2" spans="1:15" ht="30.6">
      <c r="C2" s="4" t="s">
        <v>148</v>
      </c>
      <c r="D2" s="4" t="s">
        <v>149</v>
      </c>
      <c r="E2" s="4" t="s">
        <v>150</v>
      </c>
      <c r="F2" s="4" t="s">
        <v>151</v>
      </c>
      <c r="G2" s="4" t="s">
        <v>152</v>
      </c>
      <c r="H2" s="4" t="s">
        <v>153</v>
      </c>
      <c r="I2" s="4" t="s">
        <v>154</v>
      </c>
      <c r="J2" s="4" t="s">
        <v>155</v>
      </c>
      <c r="K2" s="4" t="s">
        <v>156</v>
      </c>
      <c r="L2" s="4" t="s">
        <v>157</v>
      </c>
      <c r="M2" s="4" t="s">
        <v>158</v>
      </c>
      <c r="N2" s="4" t="s">
        <v>159</v>
      </c>
      <c r="O2" s="4" t="s">
        <v>160</v>
      </c>
    </row>
    <row r="3" spans="1:15">
      <c r="C3" s="5">
        <f>'DF2'!$E6</f>
        <v>2</v>
      </c>
      <c r="D3" s="5">
        <f>'DF2'!$E7</f>
        <v>4</v>
      </c>
      <c r="E3" s="5">
        <f>'DF2'!$E8</f>
        <v>5</v>
      </c>
      <c r="F3" s="5">
        <f>'DF2'!$E9</f>
        <v>5</v>
      </c>
      <c r="G3" s="5">
        <f>'DF2'!$E10</f>
        <v>3</v>
      </c>
      <c r="H3" s="5">
        <f>'DF2'!$E11</f>
        <v>5</v>
      </c>
      <c r="I3" s="5">
        <f>'DF2'!$E12</f>
        <v>4</v>
      </c>
      <c r="J3" s="5">
        <f>'DF2'!$E13</f>
        <v>3</v>
      </c>
      <c r="K3" s="5">
        <f>'DF2'!$E14</f>
        <v>4</v>
      </c>
      <c r="L3" s="5">
        <f>'DF2'!$E15</f>
        <v>5</v>
      </c>
      <c r="M3" s="5">
        <f>'DF2'!$E16</f>
        <v>4</v>
      </c>
      <c r="N3" s="5">
        <f>'DF2'!$E17</f>
        <v>3</v>
      </c>
      <c r="O3" s="5">
        <f>'DF2'!$E18</f>
        <v>2</v>
      </c>
    </row>
    <row r="7" spans="1:15">
      <c r="A7" s="216" t="s">
        <v>161</v>
      </c>
      <c r="B7" s="217"/>
      <c r="C7" s="3" t="s">
        <v>162</v>
      </c>
      <c r="D7" s="3" t="s">
        <v>163</v>
      </c>
      <c r="E7" s="3" t="s">
        <v>164</v>
      </c>
      <c r="F7" s="3" t="s">
        <v>165</v>
      </c>
      <c r="G7" s="7" t="s">
        <v>166</v>
      </c>
      <c r="H7" s="3" t="s">
        <v>167</v>
      </c>
      <c r="I7" s="3" t="s">
        <v>168</v>
      </c>
      <c r="J7" s="3" t="s">
        <v>169</v>
      </c>
      <c r="K7" s="3" t="s">
        <v>170</v>
      </c>
      <c r="L7" s="3" t="s">
        <v>171</v>
      </c>
      <c r="M7" s="3" t="s">
        <v>172</v>
      </c>
      <c r="N7" s="3" t="s">
        <v>173</v>
      </c>
      <c r="O7" s="3" t="s">
        <v>174</v>
      </c>
    </row>
    <row r="8" spans="1:15" ht="72">
      <c r="A8" s="218"/>
      <c r="B8" s="219"/>
      <c r="C8" s="8" t="s">
        <v>175</v>
      </c>
      <c r="D8" s="8" t="s">
        <v>176</v>
      </c>
      <c r="E8" s="8" t="s">
        <v>177</v>
      </c>
      <c r="F8" s="8" t="s">
        <v>178</v>
      </c>
      <c r="G8" s="8" t="s">
        <v>179</v>
      </c>
      <c r="H8" s="8" t="s">
        <v>180</v>
      </c>
      <c r="I8" s="8" t="s">
        <v>181</v>
      </c>
      <c r="J8" s="8" t="s">
        <v>182</v>
      </c>
      <c r="K8" s="8" t="s">
        <v>183</v>
      </c>
      <c r="L8" s="8" t="s">
        <v>184</v>
      </c>
      <c r="M8" s="8" t="s">
        <v>185</v>
      </c>
      <c r="N8" s="8" t="s">
        <v>186</v>
      </c>
      <c r="O8" s="8" t="s">
        <v>187</v>
      </c>
    </row>
    <row r="9" spans="1:15" ht="24">
      <c r="A9" s="9" t="s">
        <v>188</v>
      </c>
      <c r="B9" s="9" t="s">
        <v>189</v>
      </c>
      <c r="C9" s="10">
        <v>0</v>
      </c>
      <c r="D9" s="10">
        <v>0</v>
      </c>
      <c r="E9" s="10">
        <v>1</v>
      </c>
      <c r="F9" s="10">
        <v>0</v>
      </c>
      <c r="G9" s="10">
        <v>2</v>
      </c>
      <c r="H9" s="10">
        <v>2</v>
      </c>
      <c r="I9" s="10">
        <v>0</v>
      </c>
      <c r="J9" s="10">
        <v>2</v>
      </c>
      <c r="K9" s="10">
        <v>2</v>
      </c>
      <c r="L9" s="10">
        <v>0</v>
      </c>
      <c r="M9" s="10">
        <v>0</v>
      </c>
      <c r="N9" s="10">
        <v>0</v>
      </c>
      <c r="O9" s="10">
        <v>2</v>
      </c>
    </row>
    <row r="10" spans="1:15">
      <c r="A10" s="9" t="s">
        <v>190</v>
      </c>
      <c r="B10" s="9" t="s">
        <v>149</v>
      </c>
      <c r="C10" s="10">
        <v>1</v>
      </c>
      <c r="D10" s="10">
        <v>2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  <c r="J10" s="10">
        <v>0</v>
      </c>
      <c r="K10" s="10">
        <v>0</v>
      </c>
      <c r="L10" s="10">
        <v>0</v>
      </c>
      <c r="M10" s="10">
        <v>1</v>
      </c>
      <c r="N10" s="10">
        <v>0</v>
      </c>
      <c r="O10" s="10">
        <v>0</v>
      </c>
    </row>
    <row r="11" spans="1:15" ht="24">
      <c r="A11" s="9" t="s">
        <v>191</v>
      </c>
      <c r="B11" s="9" t="s">
        <v>150</v>
      </c>
      <c r="C11" s="10">
        <v>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2</v>
      </c>
      <c r="N11" s="10">
        <v>0</v>
      </c>
      <c r="O11" s="10">
        <v>0</v>
      </c>
    </row>
    <row r="12" spans="1:15" ht="24">
      <c r="A12" s="9" t="s">
        <v>192</v>
      </c>
      <c r="B12" s="9" t="s">
        <v>151</v>
      </c>
      <c r="C12" s="10">
        <v>0</v>
      </c>
      <c r="D12" s="10">
        <v>0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  <c r="M12" s="10">
        <v>0</v>
      </c>
      <c r="N12" s="10">
        <v>0</v>
      </c>
      <c r="O12" s="10">
        <v>0</v>
      </c>
    </row>
    <row r="13" spans="1:15">
      <c r="A13" s="9" t="s">
        <v>193</v>
      </c>
      <c r="B13" s="9" t="s">
        <v>152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  <c r="H13" s="10">
        <v>1</v>
      </c>
      <c r="I13" s="10">
        <v>0</v>
      </c>
      <c r="J13" s="10">
        <v>2</v>
      </c>
      <c r="K13" s="10">
        <v>1</v>
      </c>
      <c r="L13" s="10">
        <v>0</v>
      </c>
      <c r="M13" s="10">
        <v>0</v>
      </c>
      <c r="N13" s="10">
        <v>1</v>
      </c>
      <c r="O13" s="10">
        <v>0</v>
      </c>
    </row>
    <row r="14" spans="1:15" ht="24">
      <c r="A14" s="9" t="s">
        <v>194</v>
      </c>
      <c r="B14" s="9" t="s">
        <v>153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  <c r="H14" s="10">
        <v>0</v>
      </c>
      <c r="I14" s="10">
        <v>2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</row>
    <row r="15" spans="1:15" ht="24">
      <c r="A15" s="9" t="s">
        <v>195</v>
      </c>
      <c r="B15" s="9" t="s">
        <v>196</v>
      </c>
      <c r="C15" s="10">
        <v>0</v>
      </c>
      <c r="D15" s="10">
        <v>0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2</v>
      </c>
      <c r="M15" s="10">
        <v>0</v>
      </c>
      <c r="N15" s="10">
        <v>0</v>
      </c>
      <c r="O15" s="10">
        <v>0</v>
      </c>
    </row>
    <row r="16" spans="1:15" ht="24">
      <c r="A16" s="9" t="s">
        <v>197</v>
      </c>
      <c r="B16" s="11" t="s">
        <v>198</v>
      </c>
      <c r="C16" s="10">
        <v>0</v>
      </c>
      <c r="D16" s="10">
        <v>0</v>
      </c>
      <c r="E16" s="10">
        <v>1</v>
      </c>
      <c r="F16" s="10">
        <v>0</v>
      </c>
      <c r="G16" s="10">
        <v>1</v>
      </c>
      <c r="H16" s="10">
        <v>1</v>
      </c>
      <c r="I16" s="10">
        <v>0</v>
      </c>
      <c r="J16" s="10">
        <v>1</v>
      </c>
      <c r="K16" s="10">
        <v>1</v>
      </c>
      <c r="L16" s="10">
        <v>0</v>
      </c>
      <c r="M16" s="10">
        <v>0</v>
      </c>
      <c r="N16" s="10">
        <v>0</v>
      </c>
      <c r="O16" s="10">
        <v>0</v>
      </c>
    </row>
    <row r="17" spans="1:42" ht="24">
      <c r="A17" s="9" t="s">
        <v>199</v>
      </c>
      <c r="B17" s="9" t="s">
        <v>156</v>
      </c>
      <c r="C17" s="10">
        <v>0</v>
      </c>
      <c r="D17" s="10">
        <v>0</v>
      </c>
      <c r="E17" s="10">
        <v>1</v>
      </c>
      <c r="F17" s="10">
        <v>2</v>
      </c>
      <c r="G17" s="10">
        <v>0</v>
      </c>
      <c r="H17" s="10">
        <v>0</v>
      </c>
      <c r="I17" s="10">
        <v>0</v>
      </c>
      <c r="J17" s="10">
        <v>0</v>
      </c>
      <c r="K17" s="10">
        <v>1</v>
      </c>
      <c r="L17" s="10">
        <v>1</v>
      </c>
      <c r="M17" s="10">
        <v>0</v>
      </c>
      <c r="N17" s="10">
        <v>0</v>
      </c>
      <c r="O17" s="10">
        <v>0</v>
      </c>
    </row>
    <row r="18" spans="1:42" ht="24">
      <c r="A18" s="9" t="s">
        <v>200</v>
      </c>
      <c r="B18" s="9" t="s">
        <v>157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2</v>
      </c>
      <c r="O18" s="10">
        <v>0</v>
      </c>
    </row>
    <row r="19" spans="1:42">
      <c r="A19" s="9" t="s">
        <v>201</v>
      </c>
      <c r="B19" s="9" t="s">
        <v>158</v>
      </c>
      <c r="C19" s="10">
        <v>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2</v>
      </c>
      <c r="N19" s="10">
        <v>0</v>
      </c>
      <c r="O19" s="10">
        <v>0</v>
      </c>
    </row>
    <row r="20" spans="1:42" ht="24">
      <c r="A20" s="9" t="s">
        <v>202</v>
      </c>
      <c r="B20" s="9" t="s">
        <v>159</v>
      </c>
      <c r="C20" s="10">
        <v>0</v>
      </c>
      <c r="D20" s="10">
        <v>0</v>
      </c>
      <c r="E20" s="10">
        <v>2</v>
      </c>
      <c r="F20" s="10">
        <v>0</v>
      </c>
      <c r="G20" s="10">
        <v>1</v>
      </c>
      <c r="H20" s="10">
        <v>1</v>
      </c>
      <c r="I20" s="10">
        <v>0</v>
      </c>
      <c r="J20" s="10">
        <v>2</v>
      </c>
      <c r="K20" s="10">
        <v>2</v>
      </c>
      <c r="L20" s="10">
        <v>0</v>
      </c>
      <c r="M20" s="10">
        <v>0</v>
      </c>
      <c r="N20" s="10">
        <v>0</v>
      </c>
      <c r="O20" s="10">
        <v>1</v>
      </c>
    </row>
    <row r="21" spans="1:42">
      <c r="A21" s="9" t="s">
        <v>203</v>
      </c>
      <c r="B21" s="9" t="s">
        <v>160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0</v>
      </c>
      <c r="J21" s="10">
        <v>1</v>
      </c>
      <c r="K21" s="10">
        <v>1</v>
      </c>
      <c r="L21" s="10">
        <v>0</v>
      </c>
      <c r="M21" s="10">
        <v>0</v>
      </c>
      <c r="N21" s="10">
        <v>0</v>
      </c>
      <c r="O21" s="10">
        <v>2</v>
      </c>
    </row>
    <row r="24" spans="1:42">
      <c r="C24" s="3" t="s">
        <v>162</v>
      </c>
      <c r="D24" s="3" t="s">
        <v>163</v>
      </c>
      <c r="E24" s="3" t="s">
        <v>164</v>
      </c>
      <c r="F24" s="3" t="s">
        <v>165</v>
      </c>
      <c r="G24" s="7" t="s">
        <v>166</v>
      </c>
      <c r="H24" s="3" t="s">
        <v>167</v>
      </c>
      <c r="I24" s="3" t="s">
        <v>168</v>
      </c>
      <c r="J24" s="3" t="s">
        <v>169</v>
      </c>
      <c r="K24" s="3" t="s">
        <v>170</v>
      </c>
      <c r="L24" s="3" t="s">
        <v>171</v>
      </c>
      <c r="M24" s="3" t="s">
        <v>172</v>
      </c>
      <c r="N24" s="3" t="s">
        <v>173</v>
      </c>
      <c r="O24" s="3" t="s">
        <v>174</v>
      </c>
    </row>
    <row r="25" spans="1:42" ht="72">
      <c r="C25" s="8" t="s">
        <v>175</v>
      </c>
      <c r="D25" s="8" t="s">
        <v>176</v>
      </c>
      <c r="E25" s="8" t="s">
        <v>177</v>
      </c>
      <c r="F25" s="8" t="s">
        <v>178</v>
      </c>
      <c r="G25" s="8" t="s">
        <v>179</v>
      </c>
      <c r="H25" s="8" t="s">
        <v>180</v>
      </c>
      <c r="I25" s="8" t="s">
        <v>181</v>
      </c>
      <c r="J25" s="8" t="s">
        <v>182</v>
      </c>
      <c r="K25" s="8" t="s">
        <v>183</v>
      </c>
      <c r="L25" s="8" t="s">
        <v>184</v>
      </c>
      <c r="M25" s="8" t="s">
        <v>185</v>
      </c>
      <c r="N25" s="8" t="s">
        <v>186</v>
      </c>
      <c r="O25" s="8" t="s">
        <v>187</v>
      </c>
    </row>
    <row r="26" spans="1:42">
      <c r="C26" s="12">
        <f t="array" ref="C26:O26">MMULT(C3:O3,C9:O21)</f>
        <v>18</v>
      </c>
      <c r="D26" s="12">
        <v>13</v>
      </c>
      <c r="E26" s="12">
        <v>18</v>
      </c>
      <c r="F26" s="12">
        <v>26</v>
      </c>
      <c r="G26" s="12">
        <v>18</v>
      </c>
      <c r="H26" s="12">
        <v>15</v>
      </c>
      <c r="I26" s="12">
        <v>14</v>
      </c>
      <c r="J26" s="12">
        <v>26</v>
      </c>
      <c r="K26" s="12">
        <v>22</v>
      </c>
      <c r="L26" s="12">
        <v>22</v>
      </c>
      <c r="M26" s="12">
        <v>22</v>
      </c>
      <c r="N26" s="12">
        <v>13</v>
      </c>
      <c r="O26" s="12">
        <v>11</v>
      </c>
    </row>
    <row r="29" spans="1:42">
      <c r="A29" s="220" t="s">
        <v>204</v>
      </c>
      <c r="B29" s="221"/>
      <c r="C29" s="13" t="s">
        <v>91</v>
      </c>
      <c r="D29" s="13" t="s">
        <v>92</v>
      </c>
      <c r="E29" s="13" t="s">
        <v>93</v>
      </c>
      <c r="F29" s="13" t="s">
        <v>94</v>
      </c>
      <c r="G29" s="13" t="s">
        <v>95</v>
      </c>
      <c r="H29" s="13" t="s">
        <v>96</v>
      </c>
      <c r="I29" s="13" t="s">
        <v>97</v>
      </c>
      <c r="J29" s="13" t="s">
        <v>98</v>
      </c>
      <c r="K29" s="13" t="s">
        <v>99</v>
      </c>
      <c r="L29" s="13" t="s">
        <v>100</v>
      </c>
      <c r="M29" s="13" t="s">
        <v>101</v>
      </c>
      <c r="N29" s="13" t="s">
        <v>102</v>
      </c>
      <c r="O29" s="13" t="s">
        <v>103</v>
      </c>
      <c r="P29" s="13" t="s">
        <v>104</v>
      </c>
      <c r="Q29" s="13" t="s">
        <v>105</v>
      </c>
      <c r="R29" s="13" t="s">
        <v>106</v>
      </c>
      <c r="S29" s="13" t="s">
        <v>107</v>
      </c>
      <c r="T29" s="13" t="s">
        <v>108</v>
      </c>
      <c r="U29" s="13" t="s">
        <v>109</v>
      </c>
      <c r="V29" s="13" t="s">
        <v>110</v>
      </c>
      <c r="W29" s="13" t="s">
        <v>111</v>
      </c>
      <c r="X29" s="13" t="s">
        <v>112</v>
      </c>
      <c r="Y29" s="13" t="s">
        <v>113</v>
      </c>
      <c r="Z29" s="13" t="s">
        <v>114</v>
      </c>
      <c r="AA29" s="13" t="s">
        <v>115</v>
      </c>
      <c r="AB29" s="13" t="s">
        <v>116</v>
      </c>
      <c r="AC29" s="13" t="s">
        <v>117</v>
      </c>
      <c r="AD29" s="13" t="s">
        <v>118</v>
      </c>
      <c r="AE29" s="13" t="s">
        <v>119</v>
      </c>
      <c r="AF29" s="13" t="s">
        <v>120</v>
      </c>
      <c r="AG29" s="13" t="s">
        <v>121</v>
      </c>
      <c r="AH29" s="13" t="s">
        <v>122</v>
      </c>
      <c r="AI29" s="13" t="s">
        <v>123</v>
      </c>
      <c r="AJ29" s="13" t="s">
        <v>124</v>
      </c>
      <c r="AK29" s="13" t="s">
        <v>125</v>
      </c>
      <c r="AL29" s="13" t="s">
        <v>126</v>
      </c>
      <c r="AM29" s="13" t="s">
        <v>127</v>
      </c>
      <c r="AN29" s="13" t="s">
        <v>128</v>
      </c>
      <c r="AO29" s="13" t="s">
        <v>129</v>
      </c>
      <c r="AP29" s="13" t="s">
        <v>130</v>
      </c>
    </row>
    <row r="30" spans="1:42" ht="61.15">
      <c r="A30" s="222"/>
      <c r="B30" s="223"/>
      <c r="C30" s="14" t="s">
        <v>205</v>
      </c>
      <c r="D30" s="14" t="s">
        <v>206</v>
      </c>
      <c r="E30" s="14" t="s">
        <v>207</v>
      </c>
      <c r="F30" s="14" t="s">
        <v>208</v>
      </c>
      <c r="G30" s="14" t="s">
        <v>209</v>
      </c>
      <c r="H30" s="14" t="s">
        <v>210</v>
      </c>
      <c r="I30" s="14" t="s">
        <v>211</v>
      </c>
      <c r="J30" s="14" t="s">
        <v>212</v>
      </c>
      <c r="K30" s="14" t="s">
        <v>213</v>
      </c>
      <c r="L30" s="14" t="s">
        <v>214</v>
      </c>
      <c r="M30" s="14" t="s">
        <v>215</v>
      </c>
      <c r="N30" s="14" t="s">
        <v>216</v>
      </c>
      <c r="O30" s="14" t="s">
        <v>217</v>
      </c>
      <c r="P30" s="14" t="s">
        <v>218</v>
      </c>
      <c r="Q30" s="14" t="s">
        <v>219</v>
      </c>
      <c r="R30" s="14" t="s">
        <v>220</v>
      </c>
      <c r="S30" s="14" t="s">
        <v>221</v>
      </c>
      <c r="T30" s="14" t="s">
        <v>222</v>
      </c>
      <c r="U30" s="14" t="s">
        <v>223</v>
      </c>
      <c r="V30" s="14" t="s">
        <v>224</v>
      </c>
      <c r="W30" s="14" t="s">
        <v>225</v>
      </c>
      <c r="X30" s="14" t="s">
        <v>226</v>
      </c>
      <c r="Y30" s="14" t="s">
        <v>227</v>
      </c>
      <c r="Z30" s="14" t="s">
        <v>228</v>
      </c>
      <c r="AA30" s="14" t="s">
        <v>229</v>
      </c>
      <c r="AB30" s="14" t="s">
        <v>230</v>
      </c>
      <c r="AC30" s="14" t="s">
        <v>231</v>
      </c>
      <c r="AD30" s="14" t="s">
        <v>232</v>
      </c>
      <c r="AE30" s="14" t="s">
        <v>233</v>
      </c>
      <c r="AF30" s="14" t="s">
        <v>234</v>
      </c>
      <c r="AG30" s="14" t="s">
        <v>235</v>
      </c>
      <c r="AH30" s="14" t="s">
        <v>236</v>
      </c>
      <c r="AI30" s="14" t="s">
        <v>237</v>
      </c>
      <c r="AJ30" s="14" t="s">
        <v>238</v>
      </c>
      <c r="AK30" s="14" t="s">
        <v>239</v>
      </c>
      <c r="AL30" s="14" t="s">
        <v>240</v>
      </c>
      <c r="AM30" s="14" t="s">
        <v>241</v>
      </c>
      <c r="AN30" s="14" t="s">
        <v>242</v>
      </c>
      <c r="AO30" s="14" t="s">
        <v>243</v>
      </c>
      <c r="AP30" s="14" t="s">
        <v>244</v>
      </c>
    </row>
    <row r="31" spans="1:42" ht="30.6">
      <c r="A31" s="15" t="s">
        <v>162</v>
      </c>
      <c r="B31" s="16" t="s">
        <v>175</v>
      </c>
      <c r="C31" s="10">
        <v>1</v>
      </c>
      <c r="D31" s="10">
        <v>0</v>
      </c>
      <c r="E31" s="10">
        <v>1</v>
      </c>
      <c r="F31" s="10">
        <v>0</v>
      </c>
      <c r="G31" s="10">
        <v>0</v>
      </c>
      <c r="H31" s="10">
        <v>1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1</v>
      </c>
      <c r="U31" s="10">
        <v>1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1</v>
      </c>
      <c r="AL31" s="10">
        <v>0</v>
      </c>
      <c r="AM31" s="10">
        <v>1</v>
      </c>
      <c r="AN31" s="10">
        <v>1</v>
      </c>
      <c r="AO31" s="10">
        <v>2</v>
      </c>
      <c r="AP31" s="10">
        <v>1</v>
      </c>
    </row>
    <row r="32" spans="1:42" ht="20.45">
      <c r="A32" s="15" t="s">
        <v>163</v>
      </c>
      <c r="B32" s="16" t="s">
        <v>176</v>
      </c>
      <c r="C32" s="10">
        <v>1</v>
      </c>
      <c r="D32" s="10">
        <v>0</v>
      </c>
      <c r="E32" s="10">
        <v>2</v>
      </c>
      <c r="F32" s="10">
        <v>0</v>
      </c>
      <c r="G32" s="10">
        <v>0</v>
      </c>
      <c r="H32" s="10">
        <v>1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2</v>
      </c>
      <c r="T32" s="10">
        <v>1</v>
      </c>
      <c r="U32" s="10">
        <v>1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1</v>
      </c>
      <c r="AB32" s="10">
        <v>1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1</v>
      </c>
      <c r="AI32" s="10">
        <v>1</v>
      </c>
      <c r="AJ32" s="10">
        <v>1</v>
      </c>
      <c r="AK32" s="10">
        <v>2</v>
      </c>
      <c r="AL32" s="10">
        <v>1</v>
      </c>
      <c r="AM32" s="10">
        <v>0</v>
      </c>
      <c r="AN32" s="10">
        <v>1</v>
      </c>
      <c r="AO32" s="10">
        <v>0</v>
      </c>
      <c r="AP32" s="10">
        <v>1</v>
      </c>
    </row>
    <row r="33" spans="1:42" ht="20.45">
      <c r="A33" s="15" t="s">
        <v>164</v>
      </c>
      <c r="B33" s="16" t="s">
        <v>177</v>
      </c>
      <c r="C33" s="10">
        <v>2</v>
      </c>
      <c r="D33" s="10">
        <v>2</v>
      </c>
      <c r="E33" s="10">
        <v>0</v>
      </c>
      <c r="F33" s="10">
        <v>1</v>
      </c>
      <c r="G33" s="10">
        <v>0</v>
      </c>
      <c r="H33" s="10">
        <v>2</v>
      </c>
      <c r="I33" s="10">
        <v>1</v>
      </c>
      <c r="J33" s="10">
        <v>1</v>
      </c>
      <c r="K33" s="10">
        <v>1</v>
      </c>
      <c r="L33" s="10">
        <v>2</v>
      </c>
      <c r="M33" s="10">
        <v>1</v>
      </c>
      <c r="N33" s="10">
        <v>1</v>
      </c>
      <c r="O33" s="10">
        <v>1</v>
      </c>
      <c r="P33" s="10">
        <v>0</v>
      </c>
      <c r="Q33" s="10">
        <v>0</v>
      </c>
      <c r="R33" s="10">
        <v>1</v>
      </c>
      <c r="S33" s="10">
        <v>0</v>
      </c>
      <c r="T33" s="10">
        <v>0</v>
      </c>
      <c r="U33" s="10">
        <v>0</v>
      </c>
      <c r="V33" s="10">
        <v>2</v>
      </c>
      <c r="W33" s="10">
        <v>1</v>
      </c>
      <c r="X33" s="10">
        <v>1</v>
      </c>
      <c r="Y33" s="10">
        <v>0</v>
      </c>
      <c r="Z33" s="10">
        <v>2</v>
      </c>
      <c r="AA33" s="10">
        <v>0</v>
      </c>
      <c r="AB33" s="10">
        <v>0</v>
      </c>
      <c r="AC33" s="10">
        <v>1</v>
      </c>
      <c r="AD33" s="10">
        <v>0</v>
      </c>
      <c r="AE33" s="10">
        <v>0</v>
      </c>
      <c r="AF33" s="10">
        <v>2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1</v>
      </c>
      <c r="AN33" s="10">
        <v>0</v>
      </c>
      <c r="AO33" s="10">
        <v>0</v>
      </c>
      <c r="AP33" s="10">
        <v>0</v>
      </c>
    </row>
    <row r="34" spans="1:42" ht="20.45">
      <c r="A34" s="15" t="s">
        <v>165</v>
      </c>
      <c r="B34" s="16" t="s">
        <v>178</v>
      </c>
      <c r="C34" s="10">
        <v>0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2</v>
      </c>
      <c r="N34" s="10">
        <v>0</v>
      </c>
      <c r="O34" s="10">
        <v>0</v>
      </c>
      <c r="P34" s="10">
        <v>0</v>
      </c>
      <c r="Q34" s="10">
        <v>0</v>
      </c>
      <c r="R34" s="10">
        <v>1</v>
      </c>
      <c r="S34" s="10">
        <v>0</v>
      </c>
      <c r="T34" s="10">
        <v>0</v>
      </c>
      <c r="U34" s="10">
        <v>1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2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1</v>
      </c>
      <c r="AO34" s="10">
        <v>0</v>
      </c>
      <c r="AP34" s="10">
        <v>1</v>
      </c>
    </row>
    <row r="35" spans="1:42" ht="20.45">
      <c r="A35" s="17" t="s">
        <v>166</v>
      </c>
      <c r="B35" s="16" t="s">
        <v>245</v>
      </c>
      <c r="C35" s="10">
        <v>0</v>
      </c>
      <c r="D35" s="10">
        <v>1</v>
      </c>
      <c r="E35" s="10">
        <v>0</v>
      </c>
      <c r="F35" s="10">
        <v>1</v>
      </c>
      <c r="G35" s="10">
        <v>0</v>
      </c>
      <c r="H35" s="10">
        <v>1</v>
      </c>
      <c r="I35" s="10">
        <v>1</v>
      </c>
      <c r="J35" s="10">
        <v>1</v>
      </c>
      <c r="K35" s="10">
        <v>0</v>
      </c>
      <c r="L35" s="10">
        <v>2</v>
      </c>
      <c r="M35" s="10">
        <v>0</v>
      </c>
      <c r="N35" s="10">
        <v>1</v>
      </c>
      <c r="O35" s="10">
        <v>2</v>
      </c>
      <c r="P35" s="10">
        <v>2</v>
      </c>
      <c r="Q35" s="10">
        <v>2</v>
      </c>
      <c r="R35" s="10">
        <v>1</v>
      </c>
      <c r="S35" s="10">
        <v>0</v>
      </c>
      <c r="T35" s="10">
        <v>0</v>
      </c>
      <c r="U35" s="10">
        <v>0</v>
      </c>
      <c r="V35" s="10">
        <v>0</v>
      </c>
      <c r="W35" s="10">
        <v>2</v>
      </c>
      <c r="X35" s="10">
        <v>2</v>
      </c>
      <c r="Y35" s="10">
        <v>2</v>
      </c>
      <c r="Z35" s="10">
        <v>1</v>
      </c>
      <c r="AA35" s="10">
        <v>1</v>
      </c>
      <c r="AB35" s="10">
        <v>0</v>
      </c>
      <c r="AC35" s="10">
        <v>0</v>
      </c>
      <c r="AD35" s="10">
        <v>0</v>
      </c>
      <c r="AE35" s="10">
        <v>1</v>
      </c>
      <c r="AF35" s="10">
        <v>1</v>
      </c>
      <c r="AG35" s="10">
        <v>2</v>
      </c>
      <c r="AH35" s="10">
        <v>2</v>
      </c>
      <c r="AI35" s="10">
        <v>2</v>
      </c>
      <c r="AJ35" s="10">
        <v>2</v>
      </c>
      <c r="AK35" s="10">
        <v>1</v>
      </c>
      <c r="AL35" s="10">
        <v>1</v>
      </c>
      <c r="AM35" s="10">
        <v>2</v>
      </c>
      <c r="AN35" s="10">
        <v>1</v>
      </c>
      <c r="AO35" s="10">
        <v>0</v>
      </c>
      <c r="AP35" s="10">
        <v>1</v>
      </c>
    </row>
    <row r="36" spans="1:42" ht="20.45">
      <c r="A36" s="15" t="s">
        <v>167</v>
      </c>
      <c r="B36" s="16" t="s">
        <v>180</v>
      </c>
      <c r="C36" s="10">
        <v>0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1</v>
      </c>
      <c r="J36" s="10">
        <v>2</v>
      </c>
      <c r="K36" s="10">
        <v>2</v>
      </c>
      <c r="L36" s="10">
        <v>1</v>
      </c>
      <c r="M36" s="10">
        <v>0</v>
      </c>
      <c r="N36" s="10">
        <v>0</v>
      </c>
      <c r="O36" s="10">
        <v>2</v>
      </c>
      <c r="P36" s="10">
        <v>0</v>
      </c>
      <c r="Q36" s="10">
        <v>1</v>
      </c>
      <c r="R36" s="10">
        <v>0</v>
      </c>
      <c r="S36" s="10">
        <v>0</v>
      </c>
      <c r="T36" s="10">
        <v>0</v>
      </c>
      <c r="U36" s="10">
        <v>0</v>
      </c>
      <c r="V36" s="10">
        <v>1</v>
      </c>
      <c r="W36" s="10">
        <v>2</v>
      </c>
      <c r="X36" s="10">
        <v>2</v>
      </c>
      <c r="Y36" s="10">
        <v>0</v>
      </c>
      <c r="Z36" s="10">
        <v>1</v>
      </c>
      <c r="AA36" s="10">
        <v>2</v>
      </c>
      <c r="AB36" s="10">
        <v>2</v>
      </c>
      <c r="AC36" s="10">
        <v>1</v>
      </c>
      <c r="AD36" s="10">
        <v>0</v>
      </c>
      <c r="AE36" s="10">
        <v>0</v>
      </c>
      <c r="AF36" s="10">
        <v>2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</row>
    <row r="37" spans="1:42" ht="20.45">
      <c r="A37" s="15" t="s">
        <v>168</v>
      </c>
      <c r="B37" s="16" t="s">
        <v>181</v>
      </c>
      <c r="C37" s="10">
        <v>0</v>
      </c>
      <c r="D37" s="10">
        <v>0</v>
      </c>
      <c r="E37" s="10">
        <v>2</v>
      </c>
      <c r="F37" s="10">
        <v>0</v>
      </c>
      <c r="G37" s="10">
        <v>0</v>
      </c>
      <c r="H37" s="10">
        <v>1</v>
      </c>
      <c r="I37" s="10">
        <v>0</v>
      </c>
      <c r="J37" s="10">
        <v>1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2</v>
      </c>
      <c r="T37" s="10">
        <v>2</v>
      </c>
      <c r="U37" s="10">
        <v>1</v>
      </c>
      <c r="V37" s="10">
        <v>0</v>
      </c>
      <c r="W37" s="10">
        <v>0</v>
      </c>
      <c r="X37" s="10">
        <v>0</v>
      </c>
      <c r="Y37" s="10">
        <v>1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1</v>
      </c>
      <c r="AI37" s="10">
        <v>1</v>
      </c>
      <c r="AJ37" s="10">
        <v>1</v>
      </c>
      <c r="AK37" s="10">
        <v>2</v>
      </c>
      <c r="AL37" s="10">
        <v>1</v>
      </c>
      <c r="AM37" s="10">
        <v>0</v>
      </c>
      <c r="AN37" s="10">
        <v>1</v>
      </c>
      <c r="AO37" s="10">
        <v>0</v>
      </c>
      <c r="AP37" s="10">
        <v>1</v>
      </c>
    </row>
    <row r="38" spans="1:42" ht="30.6">
      <c r="A38" s="15" t="s">
        <v>169</v>
      </c>
      <c r="B38" s="16" t="s">
        <v>182</v>
      </c>
      <c r="C38" s="10">
        <v>1</v>
      </c>
      <c r="D38" s="10">
        <v>1</v>
      </c>
      <c r="E38" s="10">
        <v>0</v>
      </c>
      <c r="F38" s="10">
        <v>1</v>
      </c>
      <c r="G38" s="10">
        <v>0</v>
      </c>
      <c r="H38" s="10">
        <v>1</v>
      </c>
      <c r="I38" s="10">
        <v>2</v>
      </c>
      <c r="J38" s="10">
        <v>2</v>
      </c>
      <c r="K38" s="10">
        <v>1</v>
      </c>
      <c r="L38" s="10">
        <v>1</v>
      </c>
      <c r="M38" s="10">
        <v>0</v>
      </c>
      <c r="N38" s="10">
        <v>0</v>
      </c>
      <c r="O38" s="10">
        <v>1</v>
      </c>
      <c r="P38" s="10">
        <v>1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1</v>
      </c>
      <c r="W38" s="10">
        <v>1</v>
      </c>
      <c r="X38" s="10">
        <v>1</v>
      </c>
      <c r="Y38" s="10">
        <v>0</v>
      </c>
      <c r="Z38" s="10">
        <v>2</v>
      </c>
      <c r="AA38" s="10">
        <v>1</v>
      </c>
      <c r="AB38" s="10">
        <v>0</v>
      </c>
      <c r="AC38" s="10">
        <v>1</v>
      </c>
      <c r="AD38" s="10">
        <v>0</v>
      </c>
      <c r="AE38" s="10">
        <v>0</v>
      </c>
      <c r="AF38" s="10">
        <v>0</v>
      </c>
      <c r="AG38" s="10">
        <v>1</v>
      </c>
      <c r="AH38" s="10">
        <v>0</v>
      </c>
      <c r="AI38" s="10">
        <v>0</v>
      </c>
      <c r="AJ38" s="10">
        <v>0</v>
      </c>
      <c r="AK38" s="10">
        <v>0</v>
      </c>
      <c r="AL38" s="10">
        <v>2</v>
      </c>
      <c r="AM38" s="10">
        <v>0</v>
      </c>
      <c r="AN38" s="10">
        <v>0</v>
      </c>
      <c r="AO38" s="10">
        <v>0</v>
      </c>
      <c r="AP38" s="10">
        <v>0</v>
      </c>
    </row>
    <row r="39" spans="1:42" ht="30.6">
      <c r="A39" s="15" t="s">
        <v>170</v>
      </c>
      <c r="B39" s="16" t="s">
        <v>183</v>
      </c>
      <c r="C39" s="10">
        <v>0</v>
      </c>
      <c r="D39" s="10">
        <v>0</v>
      </c>
      <c r="E39" s="10">
        <v>0</v>
      </c>
      <c r="F39" s="10">
        <v>2</v>
      </c>
      <c r="G39" s="10">
        <v>0</v>
      </c>
      <c r="H39" s="10">
        <v>1</v>
      </c>
      <c r="I39" s="10">
        <v>0</v>
      </c>
      <c r="J39" s="10">
        <v>0</v>
      </c>
      <c r="K39" s="10">
        <v>0</v>
      </c>
      <c r="L39" s="10">
        <v>1</v>
      </c>
      <c r="M39" s="10">
        <v>2</v>
      </c>
      <c r="N39" s="10">
        <v>1</v>
      </c>
      <c r="O39" s="10">
        <v>1</v>
      </c>
      <c r="P39" s="10">
        <v>0</v>
      </c>
      <c r="Q39" s="10">
        <v>1</v>
      </c>
      <c r="R39" s="10">
        <v>2</v>
      </c>
      <c r="S39" s="10">
        <v>0</v>
      </c>
      <c r="T39" s="10">
        <v>0</v>
      </c>
      <c r="U39" s="10">
        <v>0</v>
      </c>
      <c r="V39" s="10">
        <v>2</v>
      </c>
      <c r="W39" s="10">
        <v>2</v>
      </c>
      <c r="X39" s="10">
        <v>2</v>
      </c>
      <c r="Y39" s="10">
        <v>1</v>
      </c>
      <c r="Z39" s="10">
        <v>2</v>
      </c>
      <c r="AA39" s="10">
        <v>0</v>
      </c>
      <c r="AB39" s="10">
        <v>1</v>
      </c>
      <c r="AC39" s="10">
        <v>1</v>
      </c>
      <c r="AD39" s="10">
        <v>0</v>
      </c>
      <c r="AE39" s="10">
        <v>0</v>
      </c>
      <c r="AF39" s="10">
        <v>2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1</v>
      </c>
      <c r="AN39" s="10">
        <v>1</v>
      </c>
      <c r="AO39" s="10">
        <v>0</v>
      </c>
      <c r="AP39" s="10">
        <v>0</v>
      </c>
    </row>
    <row r="40" spans="1:42">
      <c r="A40" s="15" t="s">
        <v>171</v>
      </c>
      <c r="B40" s="16" t="s">
        <v>184</v>
      </c>
      <c r="C40" s="10">
        <v>0</v>
      </c>
      <c r="D40" s="10">
        <v>0</v>
      </c>
      <c r="E40" s="10">
        <v>0</v>
      </c>
      <c r="F40" s="10">
        <v>0</v>
      </c>
      <c r="G40" s="10">
        <v>2</v>
      </c>
      <c r="H40" s="10">
        <v>1</v>
      </c>
      <c r="I40" s="10">
        <v>0</v>
      </c>
      <c r="J40" s="10">
        <v>0</v>
      </c>
      <c r="K40" s="10">
        <v>0</v>
      </c>
      <c r="L40" s="10">
        <v>0</v>
      </c>
      <c r="M40" s="10">
        <v>1</v>
      </c>
      <c r="N40" s="10">
        <v>0</v>
      </c>
      <c r="O40" s="10">
        <v>0</v>
      </c>
      <c r="P40" s="10">
        <v>0</v>
      </c>
      <c r="Q40" s="10">
        <v>0</v>
      </c>
      <c r="R40" s="10">
        <v>2</v>
      </c>
      <c r="S40" s="10">
        <v>0</v>
      </c>
      <c r="T40" s="10">
        <v>0</v>
      </c>
      <c r="U40" s="10">
        <v>2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2</v>
      </c>
      <c r="AN40" s="10">
        <v>1</v>
      </c>
      <c r="AO40" s="10">
        <v>0</v>
      </c>
      <c r="AP40" s="10">
        <v>1</v>
      </c>
    </row>
    <row r="41" spans="1:42">
      <c r="A41" s="15" t="s">
        <v>172</v>
      </c>
      <c r="B41" s="16" t="s">
        <v>185</v>
      </c>
      <c r="C41" s="10">
        <v>1</v>
      </c>
      <c r="D41" s="10">
        <v>0</v>
      </c>
      <c r="E41" s="10">
        <v>1</v>
      </c>
      <c r="F41" s="10">
        <v>0</v>
      </c>
      <c r="G41" s="10">
        <v>1</v>
      </c>
      <c r="H41" s="10">
        <v>2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1</v>
      </c>
      <c r="AL41" s="10">
        <v>1</v>
      </c>
      <c r="AM41" s="10">
        <v>1</v>
      </c>
      <c r="AN41" s="10">
        <v>2</v>
      </c>
      <c r="AO41" s="10">
        <v>1</v>
      </c>
      <c r="AP41" s="10">
        <v>2</v>
      </c>
    </row>
    <row r="42" spans="1:42" ht="30.6">
      <c r="A42" s="15" t="s">
        <v>173</v>
      </c>
      <c r="B42" s="16" t="s">
        <v>186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1</v>
      </c>
      <c r="J42" s="10">
        <v>0</v>
      </c>
      <c r="K42" s="10">
        <v>1</v>
      </c>
      <c r="L42" s="10">
        <v>0</v>
      </c>
      <c r="M42" s="10">
        <v>0</v>
      </c>
      <c r="N42" s="10">
        <v>2</v>
      </c>
      <c r="O42" s="10">
        <v>2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0</v>
      </c>
      <c r="AB42" s="10">
        <v>0</v>
      </c>
      <c r="AC42" s="10">
        <v>2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</row>
    <row r="43" spans="1:42" ht="20.45">
      <c r="A43" s="15" t="s">
        <v>174</v>
      </c>
      <c r="B43" s="16" t="s">
        <v>187</v>
      </c>
      <c r="C43" s="10">
        <v>0</v>
      </c>
      <c r="D43" s="10">
        <v>1</v>
      </c>
      <c r="E43" s="10">
        <v>0</v>
      </c>
      <c r="F43" s="10">
        <v>0</v>
      </c>
      <c r="G43" s="10">
        <v>0</v>
      </c>
      <c r="H43" s="10">
        <v>0</v>
      </c>
      <c r="I43" s="10">
        <v>1</v>
      </c>
      <c r="J43" s="10">
        <v>0</v>
      </c>
      <c r="K43" s="10">
        <v>2</v>
      </c>
      <c r="L43" s="10">
        <v>0</v>
      </c>
      <c r="M43" s="10">
        <v>0</v>
      </c>
      <c r="N43" s="10">
        <v>2</v>
      </c>
      <c r="O43" s="10">
        <v>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2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</row>
    <row r="46" spans="1:42">
      <c r="C46" s="13" t="s">
        <v>91</v>
      </c>
      <c r="D46" s="13" t="s">
        <v>92</v>
      </c>
      <c r="E46" s="13" t="s">
        <v>93</v>
      </c>
      <c r="F46" s="13" t="s">
        <v>94</v>
      </c>
      <c r="G46" s="13" t="s">
        <v>95</v>
      </c>
      <c r="H46" s="13" t="s">
        <v>96</v>
      </c>
      <c r="I46" s="13" t="s">
        <v>97</v>
      </c>
      <c r="J46" s="13" t="s">
        <v>98</v>
      </c>
      <c r="K46" s="13" t="s">
        <v>99</v>
      </c>
      <c r="L46" s="13" t="s">
        <v>100</v>
      </c>
      <c r="M46" s="13" t="s">
        <v>101</v>
      </c>
      <c r="N46" s="13" t="s">
        <v>102</v>
      </c>
      <c r="O46" s="13" t="s">
        <v>103</v>
      </c>
      <c r="P46" s="13" t="s">
        <v>104</v>
      </c>
      <c r="Q46" s="13" t="s">
        <v>105</v>
      </c>
      <c r="R46" s="13" t="s">
        <v>106</v>
      </c>
      <c r="S46" s="13" t="s">
        <v>107</v>
      </c>
      <c r="T46" s="13" t="s">
        <v>108</v>
      </c>
      <c r="U46" s="13" t="s">
        <v>109</v>
      </c>
      <c r="V46" s="13" t="s">
        <v>110</v>
      </c>
      <c r="W46" s="13" t="s">
        <v>111</v>
      </c>
      <c r="X46" s="13" t="s">
        <v>112</v>
      </c>
      <c r="Y46" s="13" t="s">
        <v>113</v>
      </c>
      <c r="Z46" s="13" t="s">
        <v>114</v>
      </c>
      <c r="AA46" s="13" t="s">
        <v>115</v>
      </c>
      <c r="AB46" s="13" t="s">
        <v>116</v>
      </c>
      <c r="AC46" s="13" t="s">
        <v>117</v>
      </c>
      <c r="AD46" s="13" t="s">
        <v>118</v>
      </c>
      <c r="AE46" s="13" t="s">
        <v>119</v>
      </c>
      <c r="AF46" s="13" t="s">
        <v>120</v>
      </c>
      <c r="AG46" s="13" t="s">
        <v>121</v>
      </c>
      <c r="AH46" s="13" t="s">
        <v>122</v>
      </c>
      <c r="AI46" s="13" t="s">
        <v>123</v>
      </c>
      <c r="AJ46" s="13" t="s">
        <v>124</v>
      </c>
      <c r="AK46" s="13" t="s">
        <v>125</v>
      </c>
      <c r="AL46" s="13" t="s">
        <v>126</v>
      </c>
      <c r="AM46" s="13" t="s">
        <v>127</v>
      </c>
      <c r="AN46" s="13" t="s">
        <v>128</v>
      </c>
      <c r="AO46" s="13" t="s">
        <v>129</v>
      </c>
      <c r="AP46" s="13" t="s">
        <v>130</v>
      </c>
    </row>
    <row r="47" spans="1:42" ht="61.15">
      <c r="C47" s="14" t="s">
        <v>205</v>
      </c>
      <c r="D47" s="14" t="s">
        <v>206</v>
      </c>
      <c r="E47" s="14" t="s">
        <v>207</v>
      </c>
      <c r="F47" s="14" t="s">
        <v>208</v>
      </c>
      <c r="G47" s="14" t="s">
        <v>209</v>
      </c>
      <c r="H47" s="14" t="s">
        <v>210</v>
      </c>
      <c r="I47" s="14" t="s">
        <v>211</v>
      </c>
      <c r="J47" s="14" t="s">
        <v>212</v>
      </c>
      <c r="K47" s="14" t="s">
        <v>213</v>
      </c>
      <c r="L47" s="14" t="s">
        <v>214</v>
      </c>
      <c r="M47" s="14" t="s">
        <v>215</v>
      </c>
      <c r="N47" s="14" t="s">
        <v>216</v>
      </c>
      <c r="O47" s="14" t="s">
        <v>217</v>
      </c>
      <c r="P47" s="14" t="s">
        <v>218</v>
      </c>
      <c r="Q47" s="14" t="s">
        <v>219</v>
      </c>
      <c r="R47" s="14" t="s">
        <v>220</v>
      </c>
      <c r="S47" s="14" t="s">
        <v>221</v>
      </c>
      <c r="T47" s="14" t="s">
        <v>222</v>
      </c>
      <c r="U47" s="14" t="s">
        <v>223</v>
      </c>
      <c r="V47" s="14" t="s">
        <v>224</v>
      </c>
      <c r="W47" s="14" t="s">
        <v>225</v>
      </c>
      <c r="X47" s="14" t="s">
        <v>226</v>
      </c>
      <c r="Y47" s="14" t="s">
        <v>227</v>
      </c>
      <c r="Z47" s="14" t="s">
        <v>228</v>
      </c>
      <c r="AA47" s="14" t="s">
        <v>229</v>
      </c>
      <c r="AB47" s="14" t="s">
        <v>230</v>
      </c>
      <c r="AC47" s="14" t="s">
        <v>231</v>
      </c>
      <c r="AD47" s="14" t="s">
        <v>232</v>
      </c>
      <c r="AE47" s="14" t="s">
        <v>233</v>
      </c>
      <c r="AF47" s="14" t="s">
        <v>234</v>
      </c>
      <c r="AG47" s="14" t="s">
        <v>235</v>
      </c>
      <c r="AH47" s="14" t="s">
        <v>236</v>
      </c>
      <c r="AI47" s="14" t="s">
        <v>237</v>
      </c>
      <c r="AJ47" s="14" t="s">
        <v>238</v>
      </c>
      <c r="AK47" s="14" t="s">
        <v>239</v>
      </c>
      <c r="AL47" s="14" t="s">
        <v>240</v>
      </c>
      <c r="AM47" s="14" t="s">
        <v>241</v>
      </c>
      <c r="AN47" s="14" t="s">
        <v>242</v>
      </c>
      <c r="AO47" s="14" t="s">
        <v>243</v>
      </c>
      <c r="AP47" s="14" t="s">
        <v>244</v>
      </c>
    </row>
    <row r="48" spans="1:42">
      <c r="C48" s="18">
        <f t="array" ref="C48:AP48">MMULT(C26:O26,C31:AP43)</f>
        <v>115</v>
      </c>
      <c r="D48" s="18">
        <v>106</v>
      </c>
      <c r="E48" s="18">
        <v>94</v>
      </c>
      <c r="F48" s="18">
        <v>121</v>
      </c>
      <c r="G48" s="18">
        <v>92</v>
      </c>
      <c r="H48" s="18">
        <v>213</v>
      </c>
      <c r="I48" s="18">
        <v>127</v>
      </c>
      <c r="J48" s="18">
        <v>132</v>
      </c>
      <c r="K48" s="18">
        <v>109</v>
      </c>
      <c r="L48" s="18">
        <v>135</v>
      </c>
      <c r="M48" s="18">
        <v>136</v>
      </c>
      <c r="N48" s="18">
        <v>106</v>
      </c>
      <c r="O48" s="18">
        <v>180</v>
      </c>
      <c r="P48" s="18">
        <v>62</v>
      </c>
      <c r="Q48" s="18">
        <v>73</v>
      </c>
      <c r="R48" s="18">
        <v>150</v>
      </c>
      <c r="S48" s="18">
        <v>54</v>
      </c>
      <c r="T48" s="18">
        <v>59</v>
      </c>
      <c r="U48" s="18">
        <v>115</v>
      </c>
      <c r="V48" s="18">
        <v>121</v>
      </c>
      <c r="W48" s="18">
        <v>167</v>
      </c>
      <c r="X48" s="18">
        <v>154</v>
      </c>
      <c r="Y48" s="18">
        <v>72</v>
      </c>
      <c r="Z48" s="18">
        <v>178</v>
      </c>
      <c r="AA48" s="18">
        <v>87</v>
      </c>
      <c r="AB48" s="18">
        <v>65</v>
      </c>
      <c r="AC48" s="18">
        <v>129</v>
      </c>
      <c r="AD48" s="18">
        <v>74</v>
      </c>
      <c r="AE48" s="18">
        <v>18</v>
      </c>
      <c r="AF48" s="18">
        <v>128</v>
      </c>
      <c r="AG48" s="18">
        <v>62</v>
      </c>
      <c r="AH48" s="18">
        <v>63</v>
      </c>
      <c r="AI48" s="18">
        <v>63</v>
      </c>
      <c r="AJ48" s="18">
        <v>63</v>
      </c>
      <c r="AK48" s="18">
        <v>112</v>
      </c>
      <c r="AL48" s="18">
        <v>119</v>
      </c>
      <c r="AM48" s="18">
        <v>160</v>
      </c>
      <c r="AN48" s="18">
        <v>177</v>
      </c>
      <c r="AO48" s="18">
        <v>58</v>
      </c>
      <c r="AP48" s="18">
        <v>155</v>
      </c>
    </row>
    <row r="49" spans="2:42">
      <c r="B49" s="2" t="s">
        <v>73</v>
      </c>
      <c r="C49" s="2">
        <v>99</v>
      </c>
      <c r="D49" s="2">
        <v>114</v>
      </c>
      <c r="E49" s="2">
        <v>63</v>
      </c>
      <c r="F49" s="2">
        <v>129</v>
      </c>
      <c r="G49" s="2">
        <v>63</v>
      </c>
      <c r="H49" s="2">
        <v>180</v>
      </c>
      <c r="I49" s="2">
        <v>132</v>
      </c>
      <c r="J49" s="2">
        <v>135</v>
      </c>
      <c r="K49" s="2">
        <v>120</v>
      </c>
      <c r="L49" s="2">
        <v>141</v>
      </c>
      <c r="M49" s="2">
        <v>117</v>
      </c>
      <c r="N49" s="2">
        <v>108</v>
      </c>
      <c r="O49" s="2">
        <v>189</v>
      </c>
      <c r="P49" s="2">
        <v>63</v>
      </c>
      <c r="Q49" s="2">
        <v>78</v>
      </c>
      <c r="R49" s="2">
        <v>132</v>
      </c>
      <c r="S49" s="2">
        <v>36</v>
      </c>
      <c r="T49" s="2">
        <v>39</v>
      </c>
      <c r="U49" s="2">
        <v>78</v>
      </c>
      <c r="V49" s="2">
        <v>129</v>
      </c>
      <c r="W49" s="2">
        <v>174</v>
      </c>
      <c r="X49" s="2">
        <v>165</v>
      </c>
      <c r="Y49" s="2">
        <v>69</v>
      </c>
      <c r="Z49" s="2">
        <v>183</v>
      </c>
      <c r="AA49" s="2">
        <v>90</v>
      </c>
      <c r="AB49" s="2">
        <v>69</v>
      </c>
      <c r="AC49" s="2">
        <v>135</v>
      </c>
      <c r="AD49" s="2">
        <v>51</v>
      </c>
      <c r="AE49" s="2">
        <v>18</v>
      </c>
      <c r="AF49" s="2">
        <v>138</v>
      </c>
      <c r="AG49" s="2">
        <v>63</v>
      </c>
      <c r="AH49" s="2">
        <v>54</v>
      </c>
      <c r="AI49" s="2">
        <v>54</v>
      </c>
      <c r="AJ49" s="2">
        <v>54</v>
      </c>
      <c r="AK49" s="2">
        <v>81</v>
      </c>
      <c r="AL49" s="2">
        <v>105</v>
      </c>
      <c r="AM49" s="2">
        <v>135</v>
      </c>
      <c r="AN49" s="2">
        <v>135</v>
      </c>
      <c r="AO49" s="2">
        <v>39</v>
      </c>
      <c r="AP49" s="2">
        <v>111</v>
      </c>
    </row>
    <row r="50" spans="2:42">
      <c r="B50" s="2" t="s">
        <v>246</v>
      </c>
      <c r="C50" s="2">
        <f>TRUNC(100*C48/C49)-100</f>
        <v>16</v>
      </c>
      <c r="D50" s="2">
        <f t="shared" ref="D50:AP50" si="0">TRUNC(100*D48/D49)-100</f>
        <v>-8</v>
      </c>
      <c r="E50" s="2">
        <f t="shared" si="0"/>
        <v>49</v>
      </c>
      <c r="F50" s="2">
        <f t="shared" si="0"/>
        <v>-7</v>
      </c>
      <c r="G50" s="2">
        <f t="shared" si="0"/>
        <v>46</v>
      </c>
      <c r="H50" s="2">
        <f t="shared" si="0"/>
        <v>18</v>
      </c>
      <c r="I50" s="2">
        <f t="shared" si="0"/>
        <v>-4</v>
      </c>
      <c r="J50" s="2">
        <f t="shared" si="0"/>
        <v>-3</v>
      </c>
      <c r="K50" s="2">
        <f t="shared" si="0"/>
        <v>-10</v>
      </c>
      <c r="L50" s="2">
        <f t="shared" si="0"/>
        <v>-5</v>
      </c>
      <c r="M50" s="2">
        <f t="shared" si="0"/>
        <v>16</v>
      </c>
      <c r="N50" s="2">
        <f t="shared" si="0"/>
        <v>-2</v>
      </c>
      <c r="O50" s="2">
        <f t="shared" si="0"/>
        <v>-5</v>
      </c>
      <c r="P50" s="2">
        <f t="shared" si="0"/>
        <v>-2</v>
      </c>
      <c r="Q50" s="2">
        <f t="shared" si="0"/>
        <v>-7</v>
      </c>
      <c r="R50" s="2">
        <f t="shared" si="0"/>
        <v>13</v>
      </c>
      <c r="S50" s="2">
        <f t="shared" si="0"/>
        <v>50</v>
      </c>
      <c r="T50" s="2">
        <f t="shared" si="0"/>
        <v>51</v>
      </c>
      <c r="U50" s="2">
        <f t="shared" si="0"/>
        <v>47</v>
      </c>
      <c r="V50" s="2">
        <f t="shared" si="0"/>
        <v>-7</v>
      </c>
      <c r="W50" s="2">
        <f t="shared" si="0"/>
        <v>-5</v>
      </c>
      <c r="X50" s="2">
        <f t="shared" si="0"/>
        <v>-7</v>
      </c>
      <c r="Y50" s="2">
        <f t="shared" si="0"/>
        <v>4</v>
      </c>
      <c r="Z50" s="2">
        <f t="shared" si="0"/>
        <v>-3</v>
      </c>
      <c r="AA50" s="2">
        <f t="shared" si="0"/>
        <v>-4</v>
      </c>
      <c r="AB50" s="2">
        <f t="shared" si="0"/>
        <v>-6</v>
      </c>
      <c r="AC50" s="2">
        <f t="shared" si="0"/>
        <v>-5</v>
      </c>
      <c r="AD50" s="2">
        <f t="shared" si="0"/>
        <v>45</v>
      </c>
      <c r="AE50" s="2">
        <f t="shared" si="0"/>
        <v>0</v>
      </c>
      <c r="AF50" s="2">
        <f t="shared" si="0"/>
        <v>-8</v>
      </c>
      <c r="AG50" s="2">
        <f t="shared" si="0"/>
        <v>-2</v>
      </c>
      <c r="AH50" s="2">
        <f t="shared" si="0"/>
        <v>16</v>
      </c>
      <c r="AI50" s="2">
        <f t="shared" si="0"/>
        <v>16</v>
      </c>
      <c r="AJ50" s="2">
        <f t="shared" si="0"/>
        <v>16</v>
      </c>
      <c r="AK50" s="2">
        <f t="shared" si="0"/>
        <v>38</v>
      </c>
      <c r="AL50" s="2">
        <f t="shared" si="0"/>
        <v>13</v>
      </c>
      <c r="AM50" s="2">
        <f t="shared" si="0"/>
        <v>18</v>
      </c>
      <c r="AN50" s="2">
        <f t="shared" si="0"/>
        <v>31</v>
      </c>
      <c r="AO50" s="2">
        <f t="shared" si="0"/>
        <v>48</v>
      </c>
      <c r="AP50" s="2">
        <f t="shared" si="0"/>
        <v>39</v>
      </c>
    </row>
  </sheetData>
  <sheetProtection algorithmName="SHA-512" hashValue="xarRuw+gsBMqwrTscWVgLwEkaPL6gVlhTrimC46+0XB5SCXyStqwQ8hfqUO5XUW7KH543FJIjMZM3z8IUEIThg==" saltValue="GkjXXm7igm72FHFn7UTpUQ==" spinCount="100000" sheet="1" objects="1" scenarios="1" selectLockedCells="1" selectUnlockedCells="1"/>
  <mergeCells count="2">
    <mergeCell ref="A7:B8"/>
    <mergeCell ref="A29:B30"/>
  </mergeCells>
  <pageMargins left="0.25" right="0.25" top="0.75" bottom="0.75" header="0.3" footer="0.3"/>
  <pageSetup paperSize="5" scale="3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A1B3-BB2D-414D-993A-879D23A5A1C8}">
  <sheetPr>
    <tabColor theme="9" tint="-0.499984740745262"/>
    <pageSetUpPr fitToPage="1"/>
  </sheetPr>
  <dimension ref="A1:W74"/>
  <sheetViews>
    <sheetView showGridLines="0" zoomScale="130" zoomScaleNormal="130" workbookViewId="0">
      <pane ySplit="2" topLeftCell="A3" activePane="bottomLeft" state="frozen"/>
      <selection pane="bottomLeft" activeCell="F24" sqref="F24"/>
      <selection activeCell="A9" sqref="A9:B9"/>
    </sheetView>
  </sheetViews>
  <sheetFormatPr defaultRowHeight="14.45"/>
  <cols>
    <col min="1" max="1" width="12.28515625" customWidth="1"/>
    <col min="2" max="2" width="7.28515625" customWidth="1"/>
    <col min="3" max="3" width="8.42578125" customWidth="1"/>
    <col min="4" max="4" width="10" customWidth="1"/>
    <col min="5" max="5" width="9" customWidth="1"/>
    <col min="6" max="6" width="9.85546875" customWidth="1"/>
    <col min="7" max="7" width="9" customWidth="1"/>
    <col min="8" max="8" width="8.7109375" customWidth="1"/>
    <col min="9" max="9" width="2.42578125" customWidth="1"/>
    <col min="10" max="10" width="7.85546875" customWidth="1"/>
    <col min="11" max="11" width="12.28515625" customWidth="1"/>
  </cols>
  <sheetData>
    <row r="1" spans="1:23" s="19" customFormat="1" ht="36.950000000000003" customHeight="1">
      <c r="A1" s="204" t="s">
        <v>247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4" t="s">
        <v>247</v>
      </c>
      <c r="M1" s="205"/>
      <c r="N1" s="205"/>
      <c r="O1" s="205"/>
      <c r="P1" s="205"/>
      <c r="Q1" s="205"/>
      <c r="R1" s="205"/>
      <c r="S1" s="205"/>
      <c r="T1" s="205"/>
      <c r="U1" s="205"/>
      <c r="V1" s="205"/>
    </row>
    <row r="2" spans="1:23" ht="9" customHeight="1"/>
    <row r="3" spans="1:23" s="19" customFormat="1" ht="26.45" customHeight="1">
      <c r="A3" s="90" t="s">
        <v>248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 t="s">
        <v>248</v>
      </c>
      <c r="N3" s="90"/>
      <c r="O3" s="90"/>
      <c r="P3" s="90"/>
      <c r="Q3" s="90"/>
      <c r="R3" s="90"/>
      <c r="S3" s="90"/>
      <c r="T3" s="90"/>
      <c r="U3" s="90"/>
      <c r="V3" s="90"/>
      <c r="W3"/>
    </row>
    <row r="4" spans="1:23" ht="19.5" customHeight="1"/>
    <row r="5" spans="1:23" s="111" customFormat="1" ht="29.1" customHeight="1">
      <c r="A5" s="215" t="s">
        <v>249</v>
      </c>
      <c r="B5" s="215"/>
      <c r="C5" s="215"/>
      <c r="D5" s="215"/>
      <c r="E5" s="95" t="s">
        <v>250</v>
      </c>
      <c r="F5" s="95" t="s">
        <v>251</v>
      </c>
      <c r="G5" s="95" t="s">
        <v>252</v>
      </c>
      <c r="H5" s="95" t="s">
        <v>73</v>
      </c>
      <c r="I5"/>
    </row>
    <row r="6" spans="1:23" s="19" customFormat="1" ht="32.1" customHeight="1">
      <c r="A6" s="213" t="s">
        <v>253</v>
      </c>
      <c r="B6" s="213"/>
      <c r="C6" s="213"/>
      <c r="D6" s="213"/>
      <c r="E6" s="163">
        <v>4</v>
      </c>
      <c r="F6" s="163">
        <v>3</v>
      </c>
      <c r="G6" s="105">
        <f>E6*F6</f>
        <v>12</v>
      </c>
      <c r="H6" s="104">
        <v>9</v>
      </c>
      <c r="I6" s="112"/>
      <c r="J6" s="105">
        <v>16</v>
      </c>
      <c r="K6" s="9" t="s">
        <v>254</v>
      </c>
    </row>
    <row r="7" spans="1:23" s="19" customFormat="1" ht="26.25" customHeight="1">
      <c r="A7" s="213" t="s">
        <v>255</v>
      </c>
      <c r="B7" s="213"/>
      <c r="C7" s="213"/>
      <c r="D7" s="213"/>
      <c r="E7" s="163">
        <v>5</v>
      </c>
      <c r="F7" s="163">
        <v>2</v>
      </c>
      <c r="G7" s="105">
        <f t="shared" ref="G7:G24" si="0">E7*F7</f>
        <v>10</v>
      </c>
      <c r="H7" s="104">
        <v>9</v>
      </c>
      <c r="I7" s="112"/>
      <c r="J7" s="105">
        <v>12</v>
      </c>
      <c r="K7" s="9" t="s">
        <v>256</v>
      </c>
    </row>
    <row r="8" spans="1:23" s="19" customFormat="1" ht="17.100000000000001" customHeight="1">
      <c r="A8" s="213" t="s">
        <v>257</v>
      </c>
      <c r="B8" s="213"/>
      <c r="C8" s="213"/>
      <c r="D8" s="213"/>
      <c r="E8" s="163">
        <v>2</v>
      </c>
      <c r="F8" s="163">
        <v>2</v>
      </c>
      <c r="G8" s="105">
        <f t="shared" si="0"/>
        <v>4</v>
      </c>
      <c r="H8" s="104">
        <v>9</v>
      </c>
      <c r="I8" s="112"/>
      <c r="J8" s="105">
        <v>6</v>
      </c>
      <c r="K8" s="9" t="s">
        <v>258</v>
      </c>
    </row>
    <row r="9" spans="1:23" s="19" customFormat="1" ht="17.100000000000001" customHeight="1">
      <c r="A9" s="213" t="s">
        <v>259</v>
      </c>
      <c r="B9" s="213"/>
      <c r="C9" s="213"/>
      <c r="D9" s="213"/>
      <c r="E9" s="163">
        <v>4</v>
      </c>
      <c r="F9" s="163">
        <v>3</v>
      </c>
      <c r="G9" s="105">
        <f t="shared" si="0"/>
        <v>12</v>
      </c>
      <c r="H9" s="104">
        <v>9</v>
      </c>
      <c r="I9" s="112"/>
      <c r="J9" s="105">
        <v>0</v>
      </c>
      <c r="K9" s="9" t="s">
        <v>260</v>
      </c>
    </row>
    <row r="10" spans="1:23" s="19" customFormat="1" ht="17.100000000000001" customHeight="1">
      <c r="A10" s="213" t="s">
        <v>261</v>
      </c>
      <c r="B10" s="213"/>
      <c r="C10" s="213"/>
      <c r="D10" s="213"/>
      <c r="E10" s="163">
        <v>2</v>
      </c>
      <c r="F10" s="163">
        <v>4</v>
      </c>
      <c r="G10" s="105">
        <f t="shared" si="0"/>
        <v>8</v>
      </c>
      <c r="H10" s="104">
        <v>9</v>
      </c>
      <c r="I10" s="112"/>
      <c r="J10" s="113"/>
      <c r="K10" s="113"/>
    </row>
    <row r="11" spans="1:23" s="19" customFormat="1" ht="17.100000000000001" customHeight="1">
      <c r="A11" s="213" t="s">
        <v>262</v>
      </c>
      <c r="B11" s="213"/>
      <c r="C11" s="213"/>
      <c r="D11" s="213"/>
      <c r="E11" s="163">
        <v>5</v>
      </c>
      <c r="F11" s="163">
        <v>5</v>
      </c>
      <c r="G11" s="105">
        <f t="shared" si="0"/>
        <v>25</v>
      </c>
      <c r="H11" s="104">
        <v>9</v>
      </c>
      <c r="I11" s="112"/>
      <c r="J11" s="113"/>
      <c r="K11" s="113"/>
    </row>
    <row r="12" spans="1:23" s="19" customFormat="1" ht="17.100000000000001" customHeight="1">
      <c r="A12" s="213" t="s">
        <v>263</v>
      </c>
      <c r="B12" s="213"/>
      <c r="C12" s="213"/>
      <c r="D12" s="213"/>
      <c r="E12" s="163">
        <v>4</v>
      </c>
      <c r="F12" s="163">
        <v>3</v>
      </c>
      <c r="G12" s="105">
        <f t="shared" si="0"/>
        <v>12</v>
      </c>
      <c r="H12" s="104">
        <v>9</v>
      </c>
      <c r="I12" s="112"/>
      <c r="J12" s="113"/>
      <c r="K12" s="113"/>
    </row>
    <row r="13" spans="1:23" s="19" customFormat="1" ht="17.100000000000001" customHeight="1">
      <c r="A13" s="213" t="s">
        <v>264</v>
      </c>
      <c r="B13" s="213"/>
      <c r="C13" s="213"/>
      <c r="D13" s="213"/>
      <c r="E13" s="163">
        <v>4</v>
      </c>
      <c r="F13" s="163">
        <v>3</v>
      </c>
      <c r="G13" s="105">
        <f t="shared" si="0"/>
        <v>12</v>
      </c>
      <c r="H13" s="104">
        <v>9</v>
      </c>
      <c r="I13" s="112"/>
      <c r="J13" s="113"/>
      <c r="K13" s="113"/>
    </row>
    <row r="14" spans="1:23" s="19" customFormat="1" ht="17.100000000000001" customHeight="1">
      <c r="A14" s="213" t="s">
        <v>265</v>
      </c>
      <c r="B14" s="213"/>
      <c r="C14" s="213"/>
      <c r="D14" s="213"/>
      <c r="E14" s="163">
        <v>4</v>
      </c>
      <c r="F14" s="163">
        <v>3</v>
      </c>
      <c r="G14" s="105">
        <f t="shared" si="0"/>
        <v>12</v>
      </c>
      <c r="H14" s="104">
        <v>9</v>
      </c>
      <c r="I14" s="112"/>
      <c r="J14" s="113"/>
      <c r="K14" s="113"/>
    </row>
    <row r="15" spans="1:23" s="19" customFormat="1" ht="17.100000000000001" customHeight="1">
      <c r="A15" s="213" t="s">
        <v>266</v>
      </c>
      <c r="B15" s="213"/>
      <c r="C15" s="213"/>
      <c r="D15" s="213"/>
      <c r="E15" s="163">
        <v>4</v>
      </c>
      <c r="F15" s="163">
        <v>3</v>
      </c>
      <c r="G15" s="105">
        <f t="shared" si="0"/>
        <v>12</v>
      </c>
      <c r="H15" s="104">
        <v>9</v>
      </c>
      <c r="I15" s="112"/>
      <c r="J15" s="113"/>
      <c r="K15" s="113"/>
    </row>
    <row r="16" spans="1:23" s="19" customFormat="1" ht="17.100000000000001" customHeight="1">
      <c r="A16" s="213" t="s">
        <v>267</v>
      </c>
      <c r="B16" s="213"/>
      <c r="C16" s="213"/>
      <c r="D16" s="213"/>
      <c r="E16" s="163">
        <v>5</v>
      </c>
      <c r="F16" s="163">
        <v>5</v>
      </c>
      <c r="G16" s="105">
        <f t="shared" si="0"/>
        <v>25</v>
      </c>
      <c r="H16" s="104">
        <v>9</v>
      </c>
      <c r="I16" s="112"/>
      <c r="J16" s="113"/>
      <c r="K16" s="113"/>
    </row>
    <row r="17" spans="1:23" s="19" customFormat="1" ht="17.100000000000001" customHeight="1">
      <c r="A17" s="213" t="s">
        <v>268</v>
      </c>
      <c r="B17" s="213"/>
      <c r="C17" s="213"/>
      <c r="D17" s="213"/>
      <c r="E17" s="163">
        <v>2</v>
      </c>
      <c r="F17" s="163">
        <v>2</v>
      </c>
      <c r="G17" s="105">
        <f t="shared" si="0"/>
        <v>4</v>
      </c>
      <c r="H17" s="104">
        <v>9</v>
      </c>
      <c r="I17" s="112"/>
      <c r="J17" s="113"/>
      <c r="K17" s="113"/>
    </row>
    <row r="18" spans="1:23" s="19" customFormat="1" ht="17.100000000000001" customHeight="1">
      <c r="A18" s="213" t="s">
        <v>269</v>
      </c>
      <c r="B18" s="213"/>
      <c r="C18" s="213"/>
      <c r="D18" s="213"/>
      <c r="E18" s="163">
        <v>3</v>
      </c>
      <c r="F18" s="163">
        <v>3</v>
      </c>
      <c r="G18" s="105">
        <f t="shared" si="0"/>
        <v>9</v>
      </c>
      <c r="H18" s="104">
        <v>9</v>
      </c>
      <c r="I18" s="112"/>
      <c r="J18" s="113"/>
      <c r="K18" s="113"/>
    </row>
    <row r="19" spans="1:23" s="19" customFormat="1" ht="17.100000000000001" customHeight="1">
      <c r="A19" s="213" t="s">
        <v>270</v>
      </c>
      <c r="B19" s="213"/>
      <c r="C19" s="213"/>
      <c r="D19" s="213"/>
      <c r="E19" s="163">
        <v>2</v>
      </c>
      <c r="F19" s="163">
        <v>1</v>
      </c>
      <c r="G19" s="105">
        <f t="shared" si="0"/>
        <v>2</v>
      </c>
      <c r="H19" s="104">
        <v>9</v>
      </c>
      <c r="I19" s="112"/>
      <c r="J19" s="113"/>
      <c r="K19" s="113"/>
    </row>
    <row r="20" spans="1:23" s="19" customFormat="1" ht="17.100000000000001" customHeight="1">
      <c r="A20" s="213" t="s">
        <v>271</v>
      </c>
      <c r="B20" s="213"/>
      <c r="C20" s="213"/>
      <c r="D20" s="213"/>
      <c r="E20" s="163">
        <v>1</v>
      </c>
      <c r="F20" s="163">
        <v>3</v>
      </c>
      <c r="G20" s="105">
        <f t="shared" si="0"/>
        <v>3</v>
      </c>
      <c r="H20" s="104">
        <v>9</v>
      </c>
      <c r="I20" s="112"/>
      <c r="J20" s="113"/>
      <c r="K20" s="113"/>
    </row>
    <row r="21" spans="1:23" s="19" customFormat="1" ht="17.100000000000001" customHeight="1">
      <c r="A21" s="213" t="s">
        <v>272</v>
      </c>
      <c r="B21" s="213"/>
      <c r="C21" s="213"/>
      <c r="D21" s="213"/>
      <c r="E21" s="163">
        <v>3</v>
      </c>
      <c r="F21" s="163">
        <v>3</v>
      </c>
      <c r="G21" s="105">
        <f t="shared" si="0"/>
        <v>9</v>
      </c>
      <c r="H21" s="104">
        <v>9</v>
      </c>
      <c r="I21" s="112"/>
      <c r="J21" s="113"/>
      <c r="K21" s="113"/>
    </row>
    <row r="22" spans="1:23" s="19" customFormat="1" ht="17.100000000000001" customHeight="1">
      <c r="A22" s="213" t="s">
        <v>273</v>
      </c>
      <c r="B22" s="213"/>
      <c r="C22" s="213"/>
      <c r="D22" s="213"/>
      <c r="E22" s="163">
        <v>3</v>
      </c>
      <c r="F22" s="163">
        <v>3</v>
      </c>
      <c r="G22" s="105">
        <f t="shared" si="0"/>
        <v>9</v>
      </c>
      <c r="H22" s="104">
        <v>9</v>
      </c>
      <c r="I22" s="112"/>
      <c r="J22" s="113"/>
      <c r="K22" s="113"/>
    </row>
    <row r="23" spans="1:23" s="19" customFormat="1" ht="17.100000000000001" customHeight="1">
      <c r="A23" s="213" t="s">
        <v>274</v>
      </c>
      <c r="B23" s="213"/>
      <c r="C23" s="213"/>
      <c r="D23" s="213"/>
      <c r="E23" s="163">
        <v>2</v>
      </c>
      <c r="F23" s="163">
        <v>2</v>
      </c>
      <c r="G23" s="105">
        <f t="shared" si="0"/>
        <v>4</v>
      </c>
      <c r="H23" s="104">
        <v>9</v>
      </c>
      <c r="I23" s="113"/>
      <c r="J23" s="113"/>
      <c r="K23" s="113"/>
    </row>
    <row r="24" spans="1:23" s="19" customFormat="1" ht="17.100000000000001" customHeight="1">
      <c r="A24" s="213" t="s">
        <v>275</v>
      </c>
      <c r="B24" s="213"/>
      <c r="C24" s="213"/>
      <c r="D24" s="213"/>
      <c r="E24" s="163">
        <v>5</v>
      </c>
      <c r="F24" s="163">
        <v>4</v>
      </c>
      <c r="G24" s="105">
        <f t="shared" si="0"/>
        <v>20</v>
      </c>
      <c r="H24" s="104">
        <v>9</v>
      </c>
      <c r="I24" s="113"/>
      <c r="J24" s="113"/>
      <c r="K24" s="113"/>
    </row>
    <row r="25" spans="1:23" ht="15.6">
      <c r="D25" s="26"/>
      <c r="E25" s="26"/>
    </row>
    <row r="26" spans="1:23" s="33" customFormat="1" ht="13.9">
      <c r="A26" s="227" t="s">
        <v>78</v>
      </c>
      <c r="B26" s="227"/>
      <c r="C26" s="227"/>
      <c r="D26" s="227"/>
      <c r="E26" s="227"/>
      <c r="F26" s="227"/>
      <c r="G26" s="86">
        <f>AVERAGE(G6:G24)</f>
        <v>10.736842105263158</v>
      </c>
    </row>
    <row r="27" spans="1:23" s="33" customFormat="1">
      <c r="A27" s="227" t="s">
        <v>79</v>
      </c>
      <c r="B27" s="228"/>
      <c r="C27" s="228"/>
      <c r="D27" s="228"/>
      <c r="E27" s="228"/>
      <c r="F27" s="228"/>
      <c r="G27" s="86">
        <f>STDEVP(G6:G24)</f>
        <v>6.455043766520939</v>
      </c>
    </row>
    <row r="28" spans="1:23" s="33" customFormat="1">
      <c r="A28" s="227" t="s">
        <v>80</v>
      </c>
      <c r="B28" s="228"/>
      <c r="C28" s="228"/>
      <c r="D28" s="228"/>
      <c r="E28" s="228"/>
      <c r="F28" s="228"/>
      <c r="G28" s="86">
        <f>AVERAGE(H6:H24)/G26</f>
        <v>0.83823529411764708</v>
      </c>
    </row>
    <row r="29" spans="1:23" s="33" customFormat="1" ht="13.9">
      <c r="D29" s="109"/>
      <c r="G29" s="110"/>
    </row>
    <row r="30" spans="1:23" s="33" customFormat="1">
      <c r="D30" s="109"/>
      <c r="G30" s="110"/>
      <c r="W30"/>
    </row>
    <row r="31" spans="1:23" s="32" customFormat="1" ht="24.6" customHeight="1">
      <c r="A31" s="207" t="s">
        <v>81</v>
      </c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 t="s">
        <v>81</v>
      </c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/>
    </row>
    <row r="32" spans="1:23" ht="9" customHeight="1"/>
    <row r="33" spans="1:23" s="32" customFormat="1" ht="27.95" customHeight="1">
      <c r="A33" s="224" t="s">
        <v>82</v>
      </c>
      <c r="B33" s="225"/>
      <c r="C33" s="225"/>
      <c r="D33" s="226"/>
      <c r="E33"/>
      <c r="F33"/>
      <c r="W33"/>
    </row>
    <row r="34" spans="1:23" s="32" customFormat="1" ht="45" customHeight="1">
      <c r="A34" s="93" t="s">
        <v>83</v>
      </c>
      <c r="B34" s="94" t="s">
        <v>84</v>
      </c>
      <c r="C34" s="94" t="s">
        <v>85</v>
      </c>
      <c r="D34" s="94" t="s">
        <v>86</v>
      </c>
    </row>
    <row r="35" spans="1:23">
      <c r="A35" s="27" t="s">
        <v>91</v>
      </c>
      <c r="B35" s="132">
        <f t="array" ref="B35:B74">MMULT(DF3map!B3:T42,'DF3'!G6:G24)</f>
        <v>189</v>
      </c>
      <c r="C35" s="142">
        <f t="array" ref="C35:C74">MMULT(DF3map!B3:T42,'DF3'!H6:H24)</f>
        <v>189</v>
      </c>
      <c r="D35" s="147">
        <f t="shared" ref="D35:D74" si="1">IFERROR(MROUND(($G$28*100*B35/C35),5)-100,0)</f>
        <v>-15</v>
      </c>
    </row>
    <row r="36" spans="1:23">
      <c r="A36" s="27" t="s">
        <v>92</v>
      </c>
      <c r="B36" s="132">
        <v>172</v>
      </c>
      <c r="C36" s="142">
        <v>135</v>
      </c>
      <c r="D36" s="147">
        <f t="shared" si="1"/>
        <v>5</v>
      </c>
      <c r="H36" s="1"/>
    </row>
    <row r="37" spans="1:23">
      <c r="A37" s="27" t="s">
        <v>93</v>
      </c>
      <c r="B37" s="132">
        <v>207</v>
      </c>
      <c r="C37" s="142">
        <v>162</v>
      </c>
      <c r="D37" s="147">
        <f t="shared" si="1"/>
        <v>5</v>
      </c>
    </row>
    <row r="38" spans="1:23">
      <c r="A38" s="27" t="s">
        <v>94</v>
      </c>
      <c r="B38" s="132">
        <v>195</v>
      </c>
      <c r="C38" s="142">
        <v>198</v>
      </c>
      <c r="D38" s="147">
        <f t="shared" si="1"/>
        <v>-15</v>
      </c>
    </row>
    <row r="39" spans="1:23">
      <c r="A39" s="27" t="s">
        <v>95</v>
      </c>
      <c r="B39" s="132">
        <v>179</v>
      </c>
      <c r="C39" s="142">
        <v>189</v>
      </c>
      <c r="D39" s="147">
        <f t="shared" si="1"/>
        <v>-20</v>
      </c>
    </row>
    <row r="40" spans="1:23">
      <c r="A40" s="28" t="s">
        <v>96</v>
      </c>
      <c r="B40" s="132">
        <v>433</v>
      </c>
      <c r="C40" s="142">
        <v>324</v>
      </c>
      <c r="D40" s="147">
        <f t="shared" si="1"/>
        <v>10</v>
      </c>
    </row>
    <row r="41" spans="1:23">
      <c r="A41" s="28" t="s">
        <v>97</v>
      </c>
      <c r="B41" s="132">
        <v>163</v>
      </c>
      <c r="C41" s="142">
        <v>144</v>
      </c>
      <c r="D41" s="147">
        <f t="shared" si="1"/>
        <v>-5</v>
      </c>
    </row>
    <row r="42" spans="1:23">
      <c r="A42" s="28" t="s">
        <v>98</v>
      </c>
      <c r="B42" s="132">
        <v>240</v>
      </c>
      <c r="C42" s="142">
        <v>171</v>
      </c>
      <c r="D42" s="147">
        <f t="shared" si="1"/>
        <v>20</v>
      </c>
    </row>
    <row r="43" spans="1:23">
      <c r="A43" s="28" t="s">
        <v>99</v>
      </c>
      <c r="B43" s="132">
        <v>44</v>
      </c>
      <c r="C43" s="142">
        <v>45</v>
      </c>
      <c r="D43" s="147">
        <f t="shared" si="1"/>
        <v>-20</v>
      </c>
    </row>
    <row r="44" spans="1:23">
      <c r="A44" s="28" t="s">
        <v>100</v>
      </c>
      <c r="B44" s="132">
        <v>158</v>
      </c>
      <c r="C44" s="142">
        <v>144</v>
      </c>
      <c r="D44" s="147">
        <f t="shared" si="1"/>
        <v>-10</v>
      </c>
    </row>
    <row r="45" spans="1:23">
      <c r="A45" s="28" t="s">
        <v>101</v>
      </c>
      <c r="B45" s="132">
        <v>108</v>
      </c>
      <c r="C45" s="142">
        <v>153</v>
      </c>
      <c r="D45" s="147">
        <f t="shared" si="1"/>
        <v>-40</v>
      </c>
    </row>
    <row r="46" spans="1:23">
      <c r="A46" s="28" t="s">
        <v>102</v>
      </c>
      <c r="B46" s="132">
        <v>262</v>
      </c>
      <c r="C46" s="142">
        <v>216</v>
      </c>
      <c r="D46" s="147">
        <f t="shared" si="1"/>
        <v>0</v>
      </c>
    </row>
    <row r="47" spans="1:23">
      <c r="A47" s="28" t="s">
        <v>103</v>
      </c>
      <c r="B47" s="132">
        <v>213</v>
      </c>
      <c r="C47" s="142">
        <v>153</v>
      </c>
      <c r="D47" s="147">
        <f t="shared" si="1"/>
        <v>15</v>
      </c>
    </row>
    <row r="48" spans="1:23">
      <c r="A48" s="28" t="s">
        <v>104</v>
      </c>
      <c r="B48" s="132">
        <v>142</v>
      </c>
      <c r="C48" s="142">
        <v>117</v>
      </c>
      <c r="D48" s="147">
        <f t="shared" si="1"/>
        <v>0</v>
      </c>
    </row>
    <row r="49" spans="1:4">
      <c r="A49" s="28" t="s">
        <v>105</v>
      </c>
      <c r="B49" s="132">
        <v>228</v>
      </c>
      <c r="C49" s="142">
        <v>216</v>
      </c>
      <c r="D49" s="147">
        <f t="shared" si="1"/>
        <v>-10</v>
      </c>
    </row>
    <row r="50" spans="1:4">
      <c r="A50" s="28" t="s">
        <v>106</v>
      </c>
      <c r="B50" s="132">
        <v>142</v>
      </c>
      <c r="C50" s="142">
        <v>99</v>
      </c>
      <c r="D50" s="147">
        <f t="shared" si="1"/>
        <v>20</v>
      </c>
    </row>
    <row r="51" spans="1:4">
      <c r="A51" s="28" t="s">
        <v>107</v>
      </c>
      <c r="B51" s="132">
        <v>153</v>
      </c>
      <c r="C51" s="142">
        <v>90</v>
      </c>
      <c r="D51" s="147">
        <f t="shared" si="1"/>
        <v>45</v>
      </c>
    </row>
    <row r="52" spans="1:4">
      <c r="A52" s="28" t="s">
        <v>108</v>
      </c>
      <c r="B52" s="132">
        <v>175</v>
      </c>
      <c r="C52" s="142">
        <v>99</v>
      </c>
      <c r="D52" s="147">
        <f t="shared" si="1"/>
        <v>50</v>
      </c>
    </row>
    <row r="53" spans="1:4">
      <c r="A53" s="28" t="s">
        <v>109</v>
      </c>
      <c r="B53" s="132">
        <v>277</v>
      </c>
      <c r="C53" s="142">
        <v>198</v>
      </c>
      <c r="D53" s="147">
        <f t="shared" si="1"/>
        <v>15</v>
      </c>
    </row>
    <row r="54" spans="1:4">
      <c r="A54" s="27" t="s">
        <v>110</v>
      </c>
      <c r="B54" s="132">
        <v>92</v>
      </c>
      <c r="C54" s="142">
        <v>81</v>
      </c>
      <c r="D54" s="147">
        <f t="shared" si="1"/>
        <v>-5</v>
      </c>
    </row>
    <row r="55" spans="1:4">
      <c r="A55" s="27" t="s">
        <v>111</v>
      </c>
      <c r="B55" s="132">
        <v>170</v>
      </c>
      <c r="C55" s="142">
        <v>117</v>
      </c>
      <c r="D55" s="147">
        <f t="shared" si="1"/>
        <v>20</v>
      </c>
    </row>
    <row r="56" spans="1:4">
      <c r="A56" s="27" t="s">
        <v>112</v>
      </c>
      <c r="B56" s="132">
        <v>181</v>
      </c>
      <c r="C56" s="142">
        <v>117</v>
      </c>
      <c r="D56" s="147">
        <f t="shared" si="1"/>
        <v>30</v>
      </c>
    </row>
    <row r="57" spans="1:4">
      <c r="A57" s="27" t="s">
        <v>113</v>
      </c>
      <c r="B57" s="132">
        <v>10</v>
      </c>
      <c r="C57" s="142">
        <v>9</v>
      </c>
      <c r="D57" s="147">
        <f t="shared" si="1"/>
        <v>-5</v>
      </c>
    </row>
    <row r="58" spans="1:4">
      <c r="A58" s="27" t="s">
        <v>114</v>
      </c>
      <c r="B58" s="132">
        <v>92</v>
      </c>
      <c r="C58" s="142">
        <v>72</v>
      </c>
      <c r="D58" s="147">
        <f t="shared" si="1"/>
        <v>5</v>
      </c>
    </row>
    <row r="59" spans="1:4">
      <c r="A59" s="27" t="s">
        <v>115</v>
      </c>
      <c r="B59" s="132">
        <v>282</v>
      </c>
      <c r="C59" s="142">
        <v>135</v>
      </c>
      <c r="D59" s="147">
        <f t="shared" si="1"/>
        <v>75</v>
      </c>
    </row>
    <row r="60" spans="1:4">
      <c r="A60" s="27" t="s">
        <v>116</v>
      </c>
      <c r="B60" s="132">
        <v>208</v>
      </c>
      <c r="C60" s="142">
        <v>117</v>
      </c>
      <c r="D60" s="147">
        <f t="shared" si="1"/>
        <v>50</v>
      </c>
    </row>
    <row r="61" spans="1:4">
      <c r="A61" s="27" t="s">
        <v>117</v>
      </c>
      <c r="B61" s="132">
        <v>217</v>
      </c>
      <c r="C61" s="142">
        <v>135</v>
      </c>
      <c r="D61" s="147">
        <f t="shared" si="1"/>
        <v>35</v>
      </c>
    </row>
    <row r="62" spans="1:4">
      <c r="A62" s="27" t="s">
        <v>118</v>
      </c>
      <c r="B62" s="132">
        <v>61</v>
      </c>
      <c r="C62" s="142">
        <v>36</v>
      </c>
      <c r="D62" s="147">
        <f t="shared" si="1"/>
        <v>40</v>
      </c>
    </row>
    <row r="63" spans="1:4">
      <c r="A63" s="27" t="s">
        <v>119</v>
      </c>
      <c r="B63" s="132">
        <v>197</v>
      </c>
      <c r="C63" s="142">
        <v>99</v>
      </c>
      <c r="D63" s="147">
        <f t="shared" si="1"/>
        <v>65</v>
      </c>
    </row>
    <row r="64" spans="1:4">
      <c r="A64" s="27" t="s">
        <v>120</v>
      </c>
      <c r="B64" s="132">
        <v>40</v>
      </c>
      <c r="C64" s="142">
        <v>36</v>
      </c>
      <c r="D64" s="147">
        <f t="shared" si="1"/>
        <v>-5</v>
      </c>
    </row>
    <row r="65" spans="1:4">
      <c r="A65" s="28" t="s">
        <v>121</v>
      </c>
      <c r="B65" s="132">
        <v>242</v>
      </c>
      <c r="C65" s="142">
        <v>135</v>
      </c>
      <c r="D65" s="147">
        <f t="shared" si="1"/>
        <v>50</v>
      </c>
    </row>
    <row r="66" spans="1:4">
      <c r="A66" s="28" t="s">
        <v>122</v>
      </c>
      <c r="B66" s="132">
        <v>283</v>
      </c>
      <c r="C66" s="142">
        <v>144</v>
      </c>
      <c r="D66" s="147">
        <f t="shared" si="1"/>
        <v>65</v>
      </c>
    </row>
    <row r="67" spans="1:4">
      <c r="A67" s="28" t="s">
        <v>123</v>
      </c>
      <c r="B67" s="132">
        <v>196</v>
      </c>
      <c r="C67" s="142">
        <v>108</v>
      </c>
      <c r="D67" s="147">
        <f t="shared" si="1"/>
        <v>50</v>
      </c>
    </row>
    <row r="68" spans="1:4">
      <c r="A68" s="28" t="s">
        <v>124</v>
      </c>
      <c r="B68" s="132">
        <v>350</v>
      </c>
      <c r="C68" s="142">
        <v>216</v>
      </c>
      <c r="D68" s="147">
        <f t="shared" si="1"/>
        <v>35</v>
      </c>
    </row>
    <row r="69" spans="1:4">
      <c r="A69" s="28" t="s">
        <v>125</v>
      </c>
      <c r="B69" s="132">
        <v>361</v>
      </c>
      <c r="C69" s="142">
        <v>216</v>
      </c>
      <c r="D69" s="147">
        <f t="shared" si="1"/>
        <v>40</v>
      </c>
    </row>
    <row r="70" spans="1:4">
      <c r="A70" s="28" t="s">
        <v>126</v>
      </c>
      <c r="B70" s="132">
        <v>275</v>
      </c>
      <c r="C70" s="142">
        <v>144</v>
      </c>
      <c r="D70" s="147">
        <f t="shared" si="1"/>
        <v>60</v>
      </c>
    </row>
    <row r="71" spans="1:4">
      <c r="A71" s="27" t="s">
        <v>127</v>
      </c>
      <c r="B71" s="132">
        <v>301</v>
      </c>
      <c r="C71" s="142">
        <v>216</v>
      </c>
      <c r="D71" s="147">
        <f t="shared" si="1"/>
        <v>15</v>
      </c>
    </row>
    <row r="72" spans="1:4">
      <c r="A72" s="27" t="s">
        <v>128</v>
      </c>
      <c r="B72" s="132">
        <v>340</v>
      </c>
      <c r="C72" s="142">
        <v>243</v>
      </c>
      <c r="D72" s="147">
        <f t="shared" si="1"/>
        <v>15</v>
      </c>
    </row>
    <row r="73" spans="1:4">
      <c r="A73" s="27" t="s">
        <v>129</v>
      </c>
      <c r="B73" s="132">
        <v>222</v>
      </c>
      <c r="C73" s="142">
        <v>153</v>
      </c>
      <c r="D73" s="147">
        <f t="shared" si="1"/>
        <v>20</v>
      </c>
    </row>
    <row r="74" spans="1:4">
      <c r="A74" s="27" t="s">
        <v>130</v>
      </c>
      <c r="B74" s="132">
        <v>277</v>
      </c>
      <c r="C74" s="142">
        <v>225</v>
      </c>
      <c r="D74" s="147">
        <f t="shared" si="1"/>
        <v>5</v>
      </c>
    </row>
  </sheetData>
  <sheetProtection algorithmName="SHA-512" hashValue="FMVr+oaE39dzf6PpfTXnoDJbDsWXMmSzKCKWLq0SCSDLifRvm18OqQ05+4/plAX1S/DNKDDuYYSs+oU7aLr5Rg==" saltValue="SPz188zqRUydGnYJkDOYvw==" spinCount="100000" sheet="1" objects="1" scenarios="1"/>
  <mergeCells count="28">
    <mergeCell ref="L31:V31"/>
    <mergeCell ref="L1:V1"/>
    <mergeCell ref="A5:D5"/>
    <mergeCell ref="A26:F26"/>
    <mergeCell ref="A27:F27"/>
    <mergeCell ref="A28:F28"/>
    <mergeCell ref="A1:K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33:D33"/>
    <mergeCell ref="A17:D17"/>
    <mergeCell ref="A18:D18"/>
    <mergeCell ref="A19:D19"/>
    <mergeCell ref="A20:D20"/>
    <mergeCell ref="A21:D21"/>
    <mergeCell ref="A22:D22"/>
    <mergeCell ref="A23:D23"/>
    <mergeCell ref="A24:D24"/>
    <mergeCell ref="A31:K31"/>
  </mergeCells>
  <conditionalFormatting sqref="E6:F24">
    <cfRule type="colorScale" priority="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ageMargins left="0.25" right="0.25" top="0.75" bottom="0.75" header="0.3" footer="0.3"/>
  <pageSetup paperSize="5" scale="88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29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538501A2-5387-49C0-8A69-B4E241E30184}">
            <x14:iconSet iconSet="4TrafficLights" showValue="0" custom="1">
              <x14:cfvo type="percent">
                <xm:f>0</xm:f>
              </x14:cfvo>
              <x14:cfvo type="num">
                <xm:f>4</xm:f>
              </x14:cfvo>
              <x14:cfvo type="num">
                <xm:f>9</xm:f>
              </x14:cfvo>
              <x14:cfvo type="num">
                <xm:f>15</xm:f>
              </x14:cfvo>
              <x14:cfIcon iconSet="4TrafficLights" iconId="0"/>
              <x14:cfIcon iconSet="3TrafficLights1" iconId="2"/>
              <x14:cfIcon iconSet="3TrafficLights1" iconId="1"/>
              <x14:cfIcon iconSet="3TrafficLights1" iconId="0"/>
            </x14:iconSet>
          </x14:cfRule>
          <xm:sqref>G6:G24</xm:sqref>
        </x14:conditionalFormatting>
        <x14:conditionalFormatting xmlns:xm="http://schemas.microsoft.com/office/excel/2006/main">
          <x14:cfRule type="iconSet" priority="1" id="{26369714-E8A5-45BC-9C19-BAFF132A5883}">
            <x14:iconSet iconSet="4TrafficLights" showValue="0" custom="1">
              <x14:cfvo type="percent">
                <xm:f>0</xm:f>
              </x14:cfvo>
              <x14:cfvo type="num">
                <xm:f>4</xm:f>
              </x14:cfvo>
              <x14:cfvo type="num">
                <xm:f>9</xm:f>
              </x14:cfvo>
              <x14:cfvo type="num">
                <xm:f>15</xm:f>
              </x14:cfvo>
              <x14:cfIcon iconSet="4TrafficLights" iconId="0"/>
              <x14:cfIcon iconSet="3TrafficLights1" iconId="2"/>
              <x14:cfIcon iconSet="3TrafficLights1" iconId="1"/>
              <x14:cfIcon iconSet="3TrafficLights1" iconId="0"/>
            </x14:iconSet>
          </x14:cfRule>
          <xm:sqref>J6:J9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45EA-AABD-4091-8AA9-0E4865E816AA}">
  <sheetPr>
    <tabColor theme="8" tint="-0.499984740745262"/>
    <pageSetUpPr fitToPage="1"/>
  </sheetPr>
  <dimension ref="A1:T42"/>
  <sheetViews>
    <sheetView showGridLines="0" zoomScale="85" zoomScaleNormal="85" workbookViewId="0">
      <pane ySplit="2" topLeftCell="A3" activePane="bottomLeft" state="frozen"/>
      <selection pane="bottomLeft" activeCell="A3" sqref="A3"/>
      <selection activeCell="A9" sqref="A9:B9"/>
    </sheetView>
  </sheetViews>
  <sheetFormatPr defaultRowHeight="14.45"/>
  <cols>
    <col min="1" max="1" width="8.7109375" style="20"/>
    <col min="2" max="2" width="13.42578125" bestFit="1" customWidth="1"/>
    <col min="3" max="3" width="10.42578125" customWidth="1"/>
    <col min="4" max="4" width="9.42578125" bestFit="1" customWidth="1"/>
    <col min="5" max="5" width="9.5703125" bestFit="1" customWidth="1"/>
    <col min="6" max="6" width="9.7109375" bestFit="1" customWidth="1"/>
    <col min="7" max="7" width="10.85546875" bestFit="1" customWidth="1"/>
    <col min="8" max="8" width="10.28515625" bestFit="1" customWidth="1"/>
    <col min="9" max="9" width="9.5703125" bestFit="1" customWidth="1"/>
    <col min="10" max="10" width="9.85546875" bestFit="1" customWidth="1"/>
    <col min="11" max="11" width="9.5703125" bestFit="1" customWidth="1"/>
    <col min="12" max="12" width="11" customWidth="1"/>
    <col min="13" max="13" width="9.42578125" bestFit="1" customWidth="1"/>
    <col min="14" max="14" width="12.28515625" bestFit="1" customWidth="1"/>
    <col min="15" max="15" width="9.5703125" bestFit="1" customWidth="1"/>
    <col min="16" max="18" width="9.42578125" bestFit="1" customWidth="1"/>
    <col min="19" max="19" width="10.85546875" customWidth="1"/>
    <col min="20" max="20" width="10.42578125" bestFit="1" customWidth="1"/>
  </cols>
  <sheetData>
    <row r="1" spans="1:20" s="20" customFormat="1" ht="14.45" customHeight="1">
      <c r="A1" s="229" t="s">
        <v>276</v>
      </c>
      <c r="B1" s="152">
        <v>1</v>
      </c>
      <c r="C1" s="152">
        <v>2</v>
      </c>
      <c r="D1" s="152">
        <v>3</v>
      </c>
      <c r="E1" s="152">
        <v>4</v>
      </c>
      <c r="F1" s="152">
        <v>5</v>
      </c>
      <c r="G1" s="152">
        <v>6</v>
      </c>
      <c r="H1" s="152">
        <v>7</v>
      </c>
      <c r="I1" s="152">
        <v>8</v>
      </c>
      <c r="J1" s="152">
        <v>9</v>
      </c>
      <c r="K1" s="152">
        <v>10</v>
      </c>
      <c r="L1" s="152">
        <v>11</v>
      </c>
      <c r="M1" s="152">
        <v>12</v>
      </c>
      <c r="N1" s="152">
        <v>13</v>
      </c>
      <c r="O1" s="152">
        <v>14</v>
      </c>
      <c r="P1" s="152">
        <v>15</v>
      </c>
      <c r="Q1" s="152">
        <v>16</v>
      </c>
      <c r="R1" s="152">
        <v>17</v>
      </c>
      <c r="S1" s="152">
        <v>18</v>
      </c>
      <c r="T1" s="152">
        <v>19</v>
      </c>
    </row>
    <row r="2" spans="1:20" s="43" customFormat="1" ht="40.9">
      <c r="A2" s="230"/>
      <c r="B2" s="153" t="s">
        <v>277</v>
      </c>
      <c r="C2" s="153" t="s">
        <v>278</v>
      </c>
      <c r="D2" s="153" t="s">
        <v>279</v>
      </c>
      <c r="E2" s="153" t="s">
        <v>280</v>
      </c>
      <c r="F2" s="153" t="s">
        <v>281</v>
      </c>
      <c r="G2" s="153" t="s">
        <v>282</v>
      </c>
      <c r="H2" s="153" t="s">
        <v>283</v>
      </c>
      <c r="I2" s="153" t="s">
        <v>284</v>
      </c>
      <c r="J2" s="153" t="s">
        <v>285</v>
      </c>
      <c r="K2" s="153" t="s">
        <v>286</v>
      </c>
      <c r="L2" s="153" t="s">
        <v>287</v>
      </c>
      <c r="M2" s="153" t="s">
        <v>288</v>
      </c>
      <c r="N2" s="153" t="s">
        <v>269</v>
      </c>
      <c r="O2" s="153" t="s">
        <v>270</v>
      </c>
      <c r="P2" s="153" t="s">
        <v>289</v>
      </c>
      <c r="Q2" s="153" t="s">
        <v>290</v>
      </c>
      <c r="R2" s="153" t="s">
        <v>291</v>
      </c>
      <c r="S2" s="153" t="s">
        <v>274</v>
      </c>
      <c r="T2" s="153" t="s">
        <v>292</v>
      </c>
    </row>
    <row r="3" spans="1:20">
      <c r="A3" s="38" t="s">
        <v>91</v>
      </c>
      <c r="B3" s="150">
        <v>3</v>
      </c>
      <c r="C3" s="150">
        <v>2</v>
      </c>
      <c r="D3" s="150">
        <v>3</v>
      </c>
      <c r="E3" s="150">
        <v>0</v>
      </c>
      <c r="F3" s="150">
        <v>0</v>
      </c>
      <c r="G3" s="150">
        <v>0</v>
      </c>
      <c r="H3" s="150">
        <v>2</v>
      </c>
      <c r="I3" s="150">
        <v>0</v>
      </c>
      <c r="J3" s="150">
        <v>0</v>
      </c>
      <c r="K3" s="150">
        <v>0</v>
      </c>
      <c r="L3" s="150">
        <v>0</v>
      </c>
      <c r="M3" s="150">
        <v>0</v>
      </c>
      <c r="N3" s="150">
        <v>3</v>
      </c>
      <c r="O3" s="150">
        <v>2</v>
      </c>
      <c r="P3" s="150">
        <v>0</v>
      </c>
      <c r="Q3" s="150">
        <v>0</v>
      </c>
      <c r="R3" s="150">
        <v>2</v>
      </c>
      <c r="S3" s="150">
        <v>2</v>
      </c>
      <c r="T3" s="150">
        <v>2</v>
      </c>
    </row>
    <row r="4" spans="1:20">
      <c r="A4" s="38" t="s">
        <v>92</v>
      </c>
      <c r="B4" s="150">
        <v>3</v>
      </c>
      <c r="C4" s="150">
        <v>2</v>
      </c>
      <c r="D4" s="150">
        <v>0</v>
      </c>
      <c r="E4" s="150">
        <v>0</v>
      </c>
      <c r="F4" s="150">
        <v>2</v>
      </c>
      <c r="G4" s="150">
        <v>0</v>
      </c>
      <c r="H4" s="150">
        <v>0</v>
      </c>
      <c r="I4" s="150">
        <v>0</v>
      </c>
      <c r="J4" s="150">
        <v>0</v>
      </c>
      <c r="K4" s="150">
        <v>0</v>
      </c>
      <c r="L4" s="150">
        <v>0</v>
      </c>
      <c r="M4" s="150">
        <v>0</v>
      </c>
      <c r="N4" s="150">
        <v>1</v>
      </c>
      <c r="O4" s="150">
        <v>0</v>
      </c>
      <c r="P4" s="150">
        <v>0</v>
      </c>
      <c r="Q4" s="150">
        <v>0</v>
      </c>
      <c r="R4" s="150">
        <v>3</v>
      </c>
      <c r="S4" s="150">
        <v>1</v>
      </c>
      <c r="T4" s="150">
        <v>3</v>
      </c>
    </row>
    <row r="5" spans="1:20">
      <c r="A5" s="38" t="s">
        <v>93</v>
      </c>
      <c r="B5" s="150">
        <v>2</v>
      </c>
      <c r="C5" s="150">
        <v>2</v>
      </c>
      <c r="D5" s="150">
        <v>0</v>
      </c>
      <c r="E5" s="150">
        <v>0</v>
      </c>
      <c r="F5" s="150">
        <v>0</v>
      </c>
      <c r="G5" s="150">
        <v>0</v>
      </c>
      <c r="H5" s="150">
        <v>0</v>
      </c>
      <c r="I5" s="150">
        <v>0</v>
      </c>
      <c r="J5" s="150">
        <v>0</v>
      </c>
      <c r="K5" s="150">
        <v>1</v>
      </c>
      <c r="L5" s="150">
        <v>2</v>
      </c>
      <c r="M5" s="150">
        <v>0</v>
      </c>
      <c r="N5" s="150">
        <v>3</v>
      </c>
      <c r="O5" s="150">
        <v>3</v>
      </c>
      <c r="P5" s="150">
        <v>0</v>
      </c>
      <c r="Q5" s="150">
        <v>0</v>
      </c>
      <c r="R5" s="150">
        <v>0</v>
      </c>
      <c r="S5" s="150">
        <v>2</v>
      </c>
      <c r="T5" s="150">
        <v>3</v>
      </c>
    </row>
    <row r="6" spans="1:20">
      <c r="A6" s="38" t="s">
        <v>94</v>
      </c>
      <c r="B6" s="150">
        <v>3</v>
      </c>
      <c r="C6" s="150">
        <v>0</v>
      </c>
      <c r="D6" s="150">
        <v>4</v>
      </c>
      <c r="E6" s="150">
        <v>3</v>
      </c>
      <c r="F6" s="150">
        <v>2</v>
      </c>
      <c r="G6" s="150">
        <v>0</v>
      </c>
      <c r="H6" s="150">
        <v>0</v>
      </c>
      <c r="I6" s="150">
        <v>0</v>
      </c>
      <c r="J6" s="150">
        <v>0</v>
      </c>
      <c r="K6" s="150">
        <v>0</v>
      </c>
      <c r="L6" s="150">
        <v>0</v>
      </c>
      <c r="M6" s="150">
        <v>2</v>
      </c>
      <c r="N6" s="150">
        <v>1</v>
      </c>
      <c r="O6" s="150">
        <v>0</v>
      </c>
      <c r="P6" s="150">
        <v>2</v>
      </c>
      <c r="Q6" s="150">
        <v>0</v>
      </c>
      <c r="R6" s="150">
        <v>0</v>
      </c>
      <c r="S6" s="150">
        <v>2</v>
      </c>
      <c r="T6" s="150">
        <v>3</v>
      </c>
    </row>
    <row r="7" spans="1:20">
      <c r="A7" s="38" t="s">
        <v>95</v>
      </c>
      <c r="B7" s="150">
        <v>3</v>
      </c>
      <c r="C7" s="150">
        <v>1</v>
      </c>
      <c r="D7" s="150">
        <v>3</v>
      </c>
      <c r="E7" s="150">
        <v>0</v>
      </c>
      <c r="F7" s="150">
        <v>0</v>
      </c>
      <c r="G7" s="150">
        <v>0</v>
      </c>
      <c r="H7" s="150">
        <v>2</v>
      </c>
      <c r="I7" s="150">
        <v>0</v>
      </c>
      <c r="J7" s="150">
        <v>0</v>
      </c>
      <c r="K7" s="150">
        <v>1</v>
      </c>
      <c r="L7" s="150">
        <v>0</v>
      </c>
      <c r="M7" s="150">
        <v>1</v>
      </c>
      <c r="N7" s="150">
        <v>3</v>
      </c>
      <c r="O7" s="150">
        <v>3</v>
      </c>
      <c r="P7" s="150">
        <v>0</v>
      </c>
      <c r="Q7" s="150">
        <v>0</v>
      </c>
      <c r="R7" s="150">
        <v>0</v>
      </c>
      <c r="S7" s="150">
        <v>2</v>
      </c>
      <c r="T7" s="150">
        <v>2</v>
      </c>
    </row>
    <row r="8" spans="1:20">
      <c r="A8" s="39" t="s">
        <v>96</v>
      </c>
      <c r="B8" s="150">
        <v>2</v>
      </c>
      <c r="C8" s="150">
        <v>3</v>
      </c>
      <c r="D8" s="150">
        <v>2</v>
      </c>
      <c r="E8" s="150">
        <v>0</v>
      </c>
      <c r="F8" s="150">
        <v>2</v>
      </c>
      <c r="G8" s="150">
        <v>2</v>
      </c>
      <c r="H8" s="150">
        <v>4</v>
      </c>
      <c r="I8" s="150">
        <v>2</v>
      </c>
      <c r="J8" s="150">
        <v>0</v>
      </c>
      <c r="K8" s="150">
        <v>2</v>
      </c>
      <c r="L8" s="150">
        <v>3</v>
      </c>
      <c r="M8" s="150">
        <v>3</v>
      </c>
      <c r="N8" s="150">
        <v>3</v>
      </c>
      <c r="O8" s="150">
        <v>0</v>
      </c>
      <c r="P8" s="150">
        <v>0</v>
      </c>
      <c r="Q8" s="150">
        <v>0</v>
      </c>
      <c r="R8" s="150">
        <v>3</v>
      </c>
      <c r="S8" s="150">
        <v>2</v>
      </c>
      <c r="T8" s="150">
        <v>3</v>
      </c>
    </row>
    <row r="9" spans="1:20">
      <c r="A9" s="39" t="s">
        <v>97</v>
      </c>
      <c r="B9" s="150">
        <v>2</v>
      </c>
      <c r="C9" s="150">
        <v>0</v>
      </c>
      <c r="D9" s="150">
        <v>0</v>
      </c>
      <c r="E9" s="150">
        <v>0</v>
      </c>
      <c r="F9" s="150">
        <v>3</v>
      </c>
      <c r="G9" s="150">
        <v>0</v>
      </c>
      <c r="H9" s="150">
        <v>0</v>
      </c>
      <c r="I9" s="150">
        <v>2</v>
      </c>
      <c r="J9" s="150">
        <v>1</v>
      </c>
      <c r="K9" s="150">
        <v>0</v>
      </c>
      <c r="L9" s="150">
        <v>1</v>
      </c>
      <c r="M9" s="150">
        <v>2</v>
      </c>
      <c r="N9" s="150">
        <v>0</v>
      </c>
      <c r="O9" s="150">
        <v>0</v>
      </c>
      <c r="P9" s="150">
        <v>0</v>
      </c>
      <c r="Q9" s="150">
        <v>0</v>
      </c>
      <c r="R9" s="150">
        <v>2</v>
      </c>
      <c r="S9" s="150">
        <v>2</v>
      </c>
      <c r="T9" s="150">
        <v>1</v>
      </c>
    </row>
    <row r="10" spans="1:20">
      <c r="A10" s="39" t="s">
        <v>98</v>
      </c>
      <c r="B10" s="150">
        <v>2</v>
      </c>
      <c r="C10" s="150">
        <v>0</v>
      </c>
      <c r="D10" s="150">
        <v>0</v>
      </c>
      <c r="E10" s="150">
        <v>0</v>
      </c>
      <c r="F10" s="150">
        <v>4</v>
      </c>
      <c r="G10" s="150">
        <v>0</v>
      </c>
      <c r="H10" s="150">
        <v>0</v>
      </c>
      <c r="I10" s="150">
        <v>2</v>
      </c>
      <c r="J10" s="150">
        <v>0</v>
      </c>
      <c r="K10" s="150">
        <v>2</v>
      </c>
      <c r="L10" s="150">
        <v>2</v>
      </c>
      <c r="M10" s="150">
        <v>2</v>
      </c>
      <c r="N10" s="150">
        <v>0</v>
      </c>
      <c r="O10" s="150">
        <v>0</v>
      </c>
      <c r="P10" s="150">
        <v>0</v>
      </c>
      <c r="Q10" s="150">
        <v>0</v>
      </c>
      <c r="R10" s="150">
        <v>2</v>
      </c>
      <c r="S10" s="150">
        <v>0</v>
      </c>
      <c r="T10" s="150">
        <v>3</v>
      </c>
    </row>
    <row r="11" spans="1:20">
      <c r="A11" s="39" t="s">
        <v>99</v>
      </c>
      <c r="B11" s="150">
        <v>0</v>
      </c>
      <c r="C11" s="150">
        <v>0</v>
      </c>
      <c r="D11" s="150">
        <v>0</v>
      </c>
      <c r="E11" s="150">
        <v>0</v>
      </c>
      <c r="F11" s="150">
        <v>1</v>
      </c>
      <c r="G11" s="150">
        <v>0</v>
      </c>
      <c r="H11" s="150">
        <v>0</v>
      </c>
      <c r="I11" s="150">
        <v>0</v>
      </c>
      <c r="J11" s="150">
        <v>0</v>
      </c>
      <c r="K11" s="150">
        <v>0</v>
      </c>
      <c r="L11" s="150">
        <v>0</v>
      </c>
      <c r="M11" s="150">
        <v>0</v>
      </c>
      <c r="N11" s="150">
        <v>0</v>
      </c>
      <c r="O11" s="150">
        <v>0</v>
      </c>
      <c r="P11" s="150">
        <v>0</v>
      </c>
      <c r="Q11" s="150">
        <v>0</v>
      </c>
      <c r="R11" s="150">
        <v>4</v>
      </c>
      <c r="S11" s="150">
        <v>0</v>
      </c>
      <c r="T11" s="150">
        <v>0</v>
      </c>
    </row>
    <row r="12" spans="1:20">
      <c r="A12" s="39" t="s">
        <v>100</v>
      </c>
      <c r="B12" s="150">
        <v>4</v>
      </c>
      <c r="C12" s="150">
        <v>2</v>
      </c>
      <c r="D12" s="150">
        <v>2</v>
      </c>
      <c r="E12" s="150">
        <v>0</v>
      </c>
      <c r="F12" s="150">
        <v>2</v>
      </c>
      <c r="G12" s="150">
        <v>0</v>
      </c>
      <c r="H12" s="150">
        <v>0</v>
      </c>
      <c r="I12" s="150">
        <v>2</v>
      </c>
      <c r="J12" s="150">
        <v>2</v>
      </c>
      <c r="K12" s="150">
        <v>0</v>
      </c>
      <c r="L12" s="150">
        <v>0</v>
      </c>
      <c r="M12" s="150">
        <v>0</v>
      </c>
      <c r="N12" s="150">
        <v>0</v>
      </c>
      <c r="O12" s="150">
        <v>0</v>
      </c>
      <c r="P12" s="150">
        <v>0</v>
      </c>
      <c r="Q12" s="150">
        <v>0</v>
      </c>
      <c r="R12" s="150">
        <v>2</v>
      </c>
      <c r="S12" s="150">
        <v>0</v>
      </c>
      <c r="T12" s="150">
        <v>0</v>
      </c>
    </row>
    <row r="13" spans="1:20">
      <c r="A13" s="39" t="s">
        <v>101</v>
      </c>
      <c r="B13" s="150">
        <v>2</v>
      </c>
      <c r="C13" s="150">
        <v>3</v>
      </c>
      <c r="D13" s="150">
        <v>4</v>
      </c>
      <c r="E13" s="150">
        <v>0</v>
      </c>
      <c r="F13" s="150">
        <v>0</v>
      </c>
      <c r="G13" s="150">
        <v>0</v>
      </c>
      <c r="H13" s="150">
        <v>0</v>
      </c>
      <c r="I13" s="150">
        <v>0</v>
      </c>
      <c r="J13" s="150">
        <v>0</v>
      </c>
      <c r="K13" s="150">
        <v>0</v>
      </c>
      <c r="L13" s="150">
        <v>0</v>
      </c>
      <c r="M13" s="150">
        <v>2</v>
      </c>
      <c r="N13" s="150">
        <v>0</v>
      </c>
      <c r="O13" s="150">
        <v>2</v>
      </c>
      <c r="P13" s="150">
        <v>0</v>
      </c>
      <c r="Q13" s="150">
        <v>0</v>
      </c>
      <c r="R13" s="150">
        <v>2</v>
      </c>
      <c r="S13" s="150">
        <v>2</v>
      </c>
      <c r="T13" s="150">
        <v>0</v>
      </c>
    </row>
    <row r="14" spans="1:20">
      <c r="A14" s="39" t="s">
        <v>102</v>
      </c>
      <c r="B14" s="150">
        <v>0</v>
      </c>
      <c r="C14" s="150">
        <v>0</v>
      </c>
      <c r="D14" s="150">
        <v>0</v>
      </c>
      <c r="E14" s="150">
        <v>4</v>
      </c>
      <c r="F14" s="150">
        <v>0</v>
      </c>
      <c r="G14" s="150">
        <v>2</v>
      </c>
      <c r="H14" s="150">
        <v>3</v>
      </c>
      <c r="I14" s="150">
        <v>3</v>
      </c>
      <c r="J14" s="150">
        <v>0</v>
      </c>
      <c r="K14" s="150">
        <v>0</v>
      </c>
      <c r="L14" s="150">
        <v>2</v>
      </c>
      <c r="M14" s="150">
        <v>0</v>
      </c>
      <c r="N14" s="150">
        <v>0</v>
      </c>
      <c r="O14" s="150">
        <v>2</v>
      </c>
      <c r="P14" s="150">
        <v>4</v>
      </c>
      <c r="Q14" s="150">
        <v>0</v>
      </c>
      <c r="R14" s="150">
        <v>2</v>
      </c>
      <c r="S14" s="150">
        <v>2</v>
      </c>
      <c r="T14" s="150">
        <v>0</v>
      </c>
    </row>
    <row r="15" spans="1:20">
      <c r="A15" s="39" t="s">
        <v>103</v>
      </c>
      <c r="B15" s="150">
        <v>0</v>
      </c>
      <c r="C15" s="150">
        <v>0</v>
      </c>
      <c r="D15" s="150">
        <v>0</v>
      </c>
      <c r="E15" s="150">
        <v>2</v>
      </c>
      <c r="F15" s="150">
        <v>2</v>
      </c>
      <c r="G15" s="150">
        <v>0</v>
      </c>
      <c r="H15" s="150">
        <v>0</v>
      </c>
      <c r="I15" s="150">
        <v>4</v>
      </c>
      <c r="J15" s="150">
        <v>0</v>
      </c>
      <c r="K15" s="150">
        <v>0</v>
      </c>
      <c r="L15" s="150">
        <v>2</v>
      </c>
      <c r="M15" s="150">
        <v>2</v>
      </c>
      <c r="N15" s="150">
        <v>0</v>
      </c>
      <c r="O15" s="150">
        <v>0</v>
      </c>
      <c r="P15" s="150">
        <v>0</v>
      </c>
      <c r="Q15" s="150">
        <v>0</v>
      </c>
      <c r="R15" s="150">
        <v>3</v>
      </c>
      <c r="S15" s="150">
        <v>0</v>
      </c>
      <c r="T15" s="150">
        <v>2</v>
      </c>
    </row>
    <row r="16" spans="1:20">
      <c r="A16" s="39" t="s">
        <v>104</v>
      </c>
      <c r="B16" s="150">
        <v>0</v>
      </c>
      <c r="C16" s="150">
        <v>0</v>
      </c>
      <c r="D16" s="150">
        <v>2</v>
      </c>
      <c r="E16" s="150">
        <v>0</v>
      </c>
      <c r="F16" s="150">
        <v>0</v>
      </c>
      <c r="G16" s="150">
        <v>0</v>
      </c>
      <c r="H16" s="150">
        <v>2</v>
      </c>
      <c r="I16" s="150">
        <v>3</v>
      </c>
      <c r="J16" s="150">
        <v>0</v>
      </c>
      <c r="K16" s="150">
        <v>1</v>
      </c>
      <c r="L16" s="150">
        <v>2</v>
      </c>
      <c r="M16" s="150">
        <v>3</v>
      </c>
      <c r="N16" s="150">
        <v>0</v>
      </c>
      <c r="O16" s="150">
        <v>0</v>
      </c>
      <c r="P16" s="150">
        <v>0</v>
      </c>
      <c r="Q16" s="150">
        <v>0</v>
      </c>
      <c r="R16" s="150">
        <v>0</v>
      </c>
      <c r="S16" s="150">
        <v>0</v>
      </c>
      <c r="T16" s="150">
        <v>0</v>
      </c>
    </row>
    <row r="17" spans="1:20">
      <c r="A17" s="39" t="s">
        <v>105</v>
      </c>
      <c r="B17" s="150">
        <v>0</v>
      </c>
      <c r="C17" s="150">
        <v>2</v>
      </c>
      <c r="D17" s="150">
        <v>3</v>
      </c>
      <c r="E17" s="150">
        <v>0</v>
      </c>
      <c r="F17" s="150">
        <v>0</v>
      </c>
      <c r="G17" s="150">
        <v>0</v>
      </c>
      <c r="H17" s="150">
        <v>2</v>
      </c>
      <c r="I17" s="150">
        <v>2</v>
      </c>
      <c r="J17" s="150">
        <v>3</v>
      </c>
      <c r="K17" s="150">
        <v>2</v>
      </c>
      <c r="L17" s="150">
        <v>2</v>
      </c>
      <c r="M17" s="150">
        <v>4</v>
      </c>
      <c r="N17" s="150">
        <v>2</v>
      </c>
      <c r="O17" s="150">
        <v>2</v>
      </c>
      <c r="P17" s="150">
        <v>0</v>
      </c>
      <c r="Q17" s="150">
        <v>0</v>
      </c>
      <c r="R17" s="150">
        <v>0</v>
      </c>
      <c r="S17" s="150">
        <v>0</v>
      </c>
      <c r="T17" s="150">
        <v>0</v>
      </c>
    </row>
    <row r="18" spans="1:20">
      <c r="A18" s="39" t="s">
        <v>106</v>
      </c>
      <c r="B18" s="150">
        <v>0</v>
      </c>
      <c r="C18" s="150">
        <v>3</v>
      </c>
      <c r="D18" s="150">
        <v>0</v>
      </c>
      <c r="E18" s="150">
        <v>0</v>
      </c>
      <c r="F18" s="150">
        <v>0</v>
      </c>
      <c r="G18" s="150">
        <v>0</v>
      </c>
      <c r="H18" s="150">
        <v>0</v>
      </c>
      <c r="I18" s="150">
        <v>2</v>
      </c>
      <c r="J18" s="150">
        <v>0</v>
      </c>
      <c r="K18" s="150">
        <v>4</v>
      </c>
      <c r="L18" s="150">
        <v>0</v>
      </c>
      <c r="M18" s="150">
        <v>0</v>
      </c>
      <c r="N18" s="150">
        <v>0</v>
      </c>
      <c r="O18" s="150">
        <v>0</v>
      </c>
      <c r="P18" s="150">
        <v>0</v>
      </c>
      <c r="Q18" s="150">
        <v>0</v>
      </c>
      <c r="R18" s="150">
        <v>0</v>
      </c>
      <c r="S18" s="150">
        <v>0</v>
      </c>
      <c r="T18" s="150">
        <v>2</v>
      </c>
    </row>
    <row r="19" spans="1:20">
      <c r="A19" s="39" t="s">
        <v>107</v>
      </c>
      <c r="B19" s="150">
        <v>0</v>
      </c>
      <c r="C19" s="150">
        <v>0</v>
      </c>
      <c r="D19" s="150">
        <v>0</v>
      </c>
      <c r="E19" s="150">
        <v>0</v>
      </c>
      <c r="F19" s="150">
        <v>0</v>
      </c>
      <c r="G19" s="150">
        <v>0</v>
      </c>
      <c r="H19" s="150">
        <v>3</v>
      </c>
      <c r="I19" s="150">
        <v>0</v>
      </c>
      <c r="J19" s="150">
        <v>0</v>
      </c>
      <c r="K19" s="150">
        <v>2</v>
      </c>
      <c r="L19" s="150">
        <v>3</v>
      </c>
      <c r="M19" s="150">
        <v>0</v>
      </c>
      <c r="N19" s="150">
        <v>0</v>
      </c>
      <c r="O19" s="150">
        <v>0</v>
      </c>
      <c r="P19" s="150">
        <v>0</v>
      </c>
      <c r="Q19" s="150">
        <v>2</v>
      </c>
      <c r="R19" s="150">
        <v>0</v>
      </c>
      <c r="S19" s="150">
        <v>0</v>
      </c>
      <c r="T19" s="150">
        <v>0</v>
      </c>
    </row>
    <row r="20" spans="1:20">
      <c r="A20" s="39" t="s">
        <v>108</v>
      </c>
      <c r="B20" s="150">
        <v>0</v>
      </c>
      <c r="C20" s="150">
        <v>0</v>
      </c>
      <c r="D20" s="150">
        <v>0</v>
      </c>
      <c r="E20" s="150">
        <v>0</v>
      </c>
      <c r="F20" s="150">
        <v>0</v>
      </c>
      <c r="G20" s="150">
        <v>0</v>
      </c>
      <c r="H20" s="150">
        <v>4</v>
      </c>
      <c r="I20" s="150">
        <v>0</v>
      </c>
      <c r="J20" s="150">
        <v>0</v>
      </c>
      <c r="K20" s="150">
        <v>0</v>
      </c>
      <c r="L20" s="150">
        <v>4</v>
      </c>
      <c r="M20" s="150">
        <v>0</v>
      </c>
      <c r="N20" s="150">
        <v>3</v>
      </c>
      <c r="O20" s="150">
        <v>0</v>
      </c>
      <c r="P20" s="150">
        <v>0</v>
      </c>
      <c r="Q20" s="150">
        <v>0</v>
      </c>
      <c r="R20" s="150">
        <v>0</v>
      </c>
      <c r="S20" s="150">
        <v>0</v>
      </c>
      <c r="T20" s="150">
        <v>0</v>
      </c>
    </row>
    <row r="21" spans="1:20">
      <c r="A21" s="39" t="s">
        <v>109</v>
      </c>
      <c r="B21" s="150">
        <v>0</v>
      </c>
      <c r="C21" s="150">
        <v>0</v>
      </c>
      <c r="D21" s="150">
        <v>0</v>
      </c>
      <c r="E21" s="150">
        <v>0</v>
      </c>
      <c r="F21" s="150">
        <v>0</v>
      </c>
      <c r="G21" s="150">
        <v>0</v>
      </c>
      <c r="H21" s="150">
        <v>3</v>
      </c>
      <c r="I21" s="150">
        <v>2</v>
      </c>
      <c r="J21" s="150">
        <v>0</v>
      </c>
      <c r="K21" s="150">
        <v>0</v>
      </c>
      <c r="L21" s="150">
        <v>2</v>
      </c>
      <c r="M21" s="150">
        <v>0</v>
      </c>
      <c r="N21" s="150">
        <v>3</v>
      </c>
      <c r="O21" s="150">
        <v>0</v>
      </c>
      <c r="P21" s="150">
        <v>2</v>
      </c>
      <c r="Q21" s="150">
        <v>4</v>
      </c>
      <c r="R21" s="150">
        <v>2</v>
      </c>
      <c r="S21" s="150">
        <v>0</v>
      </c>
      <c r="T21" s="150">
        <v>4</v>
      </c>
    </row>
    <row r="22" spans="1:20">
      <c r="A22" s="38" t="s">
        <v>110</v>
      </c>
      <c r="B22" s="150">
        <v>0</v>
      </c>
      <c r="C22" s="150">
        <v>4</v>
      </c>
      <c r="D22" s="150">
        <v>0</v>
      </c>
      <c r="E22" s="150">
        <v>0</v>
      </c>
      <c r="F22" s="150">
        <v>2</v>
      </c>
      <c r="G22" s="150">
        <v>0</v>
      </c>
      <c r="H22" s="150">
        <v>0</v>
      </c>
      <c r="I22" s="150">
        <v>3</v>
      </c>
      <c r="J22" s="150">
        <v>0</v>
      </c>
      <c r="K22" s="150">
        <v>0</v>
      </c>
      <c r="L22" s="150">
        <v>0</v>
      </c>
      <c r="M22" s="150">
        <v>0</v>
      </c>
      <c r="N22" s="150">
        <v>0</v>
      </c>
      <c r="O22" s="150">
        <v>0</v>
      </c>
      <c r="P22" s="150">
        <v>0</v>
      </c>
      <c r="Q22" s="150">
        <v>0</v>
      </c>
      <c r="R22" s="150">
        <v>0</v>
      </c>
      <c r="S22" s="150">
        <v>0</v>
      </c>
      <c r="T22" s="150">
        <v>0</v>
      </c>
    </row>
    <row r="23" spans="1:20">
      <c r="A23" s="38" t="s">
        <v>111</v>
      </c>
      <c r="B23" s="150">
        <v>2</v>
      </c>
      <c r="C23" s="150">
        <v>2</v>
      </c>
      <c r="D23" s="150">
        <v>0</v>
      </c>
      <c r="E23" s="150">
        <v>0</v>
      </c>
      <c r="F23" s="150">
        <v>2</v>
      </c>
      <c r="G23" s="150">
        <v>0</v>
      </c>
      <c r="H23" s="150">
        <v>0</v>
      </c>
      <c r="I23" s="150">
        <v>3</v>
      </c>
      <c r="J23" s="150">
        <v>0</v>
      </c>
      <c r="K23" s="150">
        <v>2</v>
      </c>
      <c r="L23" s="150">
        <v>2</v>
      </c>
      <c r="M23" s="150">
        <v>0</v>
      </c>
      <c r="N23" s="150">
        <v>0</v>
      </c>
      <c r="O23" s="150">
        <v>0</v>
      </c>
      <c r="P23" s="150">
        <v>0</v>
      </c>
      <c r="Q23" s="150">
        <v>0</v>
      </c>
      <c r="R23" s="150">
        <v>0</v>
      </c>
      <c r="S23" s="150">
        <v>0</v>
      </c>
      <c r="T23" s="150">
        <v>0</v>
      </c>
    </row>
    <row r="24" spans="1:20">
      <c r="A24" s="38" t="s">
        <v>112</v>
      </c>
      <c r="B24" s="150">
        <v>0</v>
      </c>
      <c r="C24" s="150">
        <v>3</v>
      </c>
      <c r="D24" s="150">
        <v>0</v>
      </c>
      <c r="E24" s="150">
        <v>0</v>
      </c>
      <c r="F24" s="150">
        <v>2</v>
      </c>
      <c r="G24" s="150">
        <v>0</v>
      </c>
      <c r="H24" s="150">
        <v>0</v>
      </c>
      <c r="I24" s="150">
        <v>2</v>
      </c>
      <c r="J24" s="150">
        <v>0</v>
      </c>
      <c r="K24" s="150">
        <v>3</v>
      </c>
      <c r="L24" s="150">
        <v>3</v>
      </c>
      <c r="M24" s="150">
        <v>0</v>
      </c>
      <c r="N24" s="150">
        <v>0</v>
      </c>
      <c r="O24" s="150">
        <v>0</v>
      </c>
      <c r="P24" s="150">
        <v>0</v>
      </c>
      <c r="Q24" s="150">
        <v>0</v>
      </c>
      <c r="R24" s="150">
        <v>0</v>
      </c>
      <c r="S24" s="150">
        <v>0</v>
      </c>
      <c r="T24" s="150">
        <v>0</v>
      </c>
    </row>
    <row r="25" spans="1:20">
      <c r="A25" s="38" t="s">
        <v>113</v>
      </c>
      <c r="B25" s="150">
        <v>0</v>
      </c>
      <c r="C25" s="150">
        <v>1</v>
      </c>
      <c r="D25" s="150">
        <v>0</v>
      </c>
      <c r="E25" s="150">
        <v>0</v>
      </c>
      <c r="F25" s="150">
        <v>0</v>
      </c>
      <c r="G25" s="150">
        <v>0</v>
      </c>
      <c r="H25" s="150">
        <v>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</row>
    <row r="26" spans="1:20">
      <c r="A26" s="38" t="s">
        <v>114</v>
      </c>
      <c r="B26" s="150">
        <v>0</v>
      </c>
      <c r="C26" s="150">
        <v>2</v>
      </c>
      <c r="D26" s="150">
        <v>0</v>
      </c>
      <c r="E26" s="150">
        <v>2</v>
      </c>
      <c r="F26" s="150">
        <v>0</v>
      </c>
      <c r="G26" s="150">
        <v>0</v>
      </c>
      <c r="H26" s="150">
        <v>0</v>
      </c>
      <c r="I26" s="150">
        <v>4</v>
      </c>
      <c r="J26" s="150">
        <v>0</v>
      </c>
      <c r="K26" s="150">
        <v>0</v>
      </c>
      <c r="L26" s="150">
        <v>0</v>
      </c>
      <c r="M26" s="150">
        <v>0</v>
      </c>
      <c r="N26" s="150">
        <v>0</v>
      </c>
      <c r="O26" s="150">
        <v>0</v>
      </c>
      <c r="P26" s="150">
        <v>0</v>
      </c>
      <c r="Q26" s="150">
        <v>0</v>
      </c>
      <c r="R26" s="150">
        <v>0</v>
      </c>
      <c r="S26" s="150">
        <v>0</v>
      </c>
      <c r="T26" s="150">
        <v>0</v>
      </c>
    </row>
    <row r="27" spans="1:20">
      <c r="A27" s="38" t="s">
        <v>115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3</v>
      </c>
      <c r="H27" s="150">
        <v>4</v>
      </c>
      <c r="I27" s="150">
        <v>0</v>
      </c>
      <c r="J27" s="150">
        <v>0</v>
      </c>
      <c r="K27" s="150">
        <v>2</v>
      </c>
      <c r="L27" s="150">
        <v>3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3</v>
      </c>
    </row>
    <row r="28" spans="1:20">
      <c r="A28" s="38" t="s">
        <v>116</v>
      </c>
      <c r="B28" s="150">
        <v>0</v>
      </c>
      <c r="C28" s="150">
        <v>0</v>
      </c>
      <c r="D28" s="150">
        <v>0</v>
      </c>
      <c r="E28" s="150">
        <v>0</v>
      </c>
      <c r="F28" s="150">
        <v>0</v>
      </c>
      <c r="G28" s="150">
        <v>2</v>
      </c>
      <c r="H28" s="150">
        <v>3</v>
      </c>
      <c r="I28" s="150">
        <v>2</v>
      </c>
      <c r="J28" s="150">
        <v>0</v>
      </c>
      <c r="K28" s="150">
        <v>4</v>
      </c>
      <c r="L28" s="150">
        <v>2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</row>
    <row r="29" spans="1:20">
      <c r="A29" s="38" t="s">
        <v>117</v>
      </c>
      <c r="B29" s="150">
        <v>0</v>
      </c>
      <c r="C29" s="150">
        <v>0</v>
      </c>
      <c r="D29" s="150">
        <v>0</v>
      </c>
      <c r="E29" s="150">
        <v>2</v>
      </c>
      <c r="F29" s="150">
        <v>0</v>
      </c>
      <c r="G29" s="150">
        <v>3</v>
      </c>
      <c r="H29" s="150">
        <v>0</v>
      </c>
      <c r="I29" s="150">
        <v>3</v>
      </c>
      <c r="J29" s="150">
        <v>0</v>
      </c>
      <c r="K29" s="150">
        <v>3</v>
      </c>
      <c r="L29" s="150">
        <v>0</v>
      </c>
      <c r="M29" s="150">
        <v>0</v>
      </c>
      <c r="N29" s="150">
        <v>0</v>
      </c>
      <c r="O29" s="150">
        <v>0</v>
      </c>
      <c r="P29" s="150">
        <v>2</v>
      </c>
      <c r="Q29" s="150">
        <v>0</v>
      </c>
      <c r="R29" s="150">
        <v>0</v>
      </c>
      <c r="S29" s="150">
        <v>0</v>
      </c>
      <c r="T29" s="150">
        <v>2</v>
      </c>
    </row>
    <row r="30" spans="1:20">
      <c r="A30" s="38" t="s">
        <v>118</v>
      </c>
      <c r="B30" s="150">
        <v>0</v>
      </c>
      <c r="C30" s="150">
        <v>0</v>
      </c>
      <c r="D30" s="150">
        <v>0</v>
      </c>
      <c r="E30" s="150">
        <v>0</v>
      </c>
      <c r="F30" s="150">
        <v>0</v>
      </c>
      <c r="G30" s="150">
        <v>1</v>
      </c>
      <c r="H30" s="150">
        <v>3</v>
      </c>
      <c r="I30" s="150">
        <v>0</v>
      </c>
      <c r="J30" s="150">
        <v>0</v>
      </c>
      <c r="K30" s="150">
        <v>0</v>
      </c>
      <c r="L30" s="150">
        <v>0</v>
      </c>
      <c r="M30" s="150">
        <v>0</v>
      </c>
      <c r="N30" s="150">
        <v>0</v>
      </c>
      <c r="O30" s="150">
        <v>0</v>
      </c>
      <c r="P30" s="150">
        <v>0</v>
      </c>
      <c r="Q30" s="150">
        <v>0</v>
      </c>
      <c r="R30" s="150">
        <v>0</v>
      </c>
      <c r="S30" s="150">
        <v>0</v>
      </c>
      <c r="T30" s="150">
        <v>0</v>
      </c>
    </row>
    <row r="31" spans="1:20">
      <c r="A31" s="38" t="s">
        <v>119</v>
      </c>
      <c r="B31" s="150">
        <v>0</v>
      </c>
      <c r="C31" s="150">
        <v>0</v>
      </c>
      <c r="D31" s="150">
        <v>0</v>
      </c>
      <c r="E31" s="150">
        <v>0</v>
      </c>
      <c r="F31" s="150">
        <v>0</v>
      </c>
      <c r="G31" s="150">
        <v>2</v>
      </c>
      <c r="H31" s="150">
        <v>4</v>
      </c>
      <c r="I31" s="150">
        <v>0</v>
      </c>
      <c r="J31" s="150">
        <v>0</v>
      </c>
      <c r="K31" s="150">
        <v>2</v>
      </c>
      <c r="L31" s="150">
        <v>3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</row>
    <row r="32" spans="1:20">
      <c r="A32" s="38" t="s">
        <v>120</v>
      </c>
      <c r="B32" s="150">
        <v>0</v>
      </c>
      <c r="C32" s="150">
        <v>4</v>
      </c>
      <c r="D32" s="150">
        <v>0</v>
      </c>
      <c r="E32" s="150">
        <v>0</v>
      </c>
      <c r="F32" s="150">
        <v>0</v>
      </c>
      <c r="G32" s="150">
        <v>0</v>
      </c>
      <c r="H32" s="150">
        <v>0</v>
      </c>
      <c r="I32" s="150">
        <v>0</v>
      </c>
      <c r="J32" s="150">
        <v>0</v>
      </c>
      <c r="K32" s="150">
        <v>0</v>
      </c>
      <c r="L32" s="150">
        <v>0</v>
      </c>
      <c r="M32" s="150">
        <v>0</v>
      </c>
      <c r="N32" s="150">
        <v>0</v>
      </c>
      <c r="O32" s="150">
        <v>0</v>
      </c>
      <c r="P32" s="150">
        <v>0</v>
      </c>
      <c r="Q32" s="150">
        <v>0</v>
      </c>
      <c r="R32" s="150">
        <v>0</v>
      </c>
      <c r="S32" s="150">
        <v>0</v>
      </c>
      <c r="T32" s="150">
        <v>0</v>
      </c>
    </row>
    <row r="33" spans="1:20">
      <c r="A33" s="39" t="s">
        <v>121</v>
      </c>
      <c r="B33" s="150">
        <v>0</v>
      </c>
      <c r="C33" s="150">
        <v>0</v>
      </c>
      <c r="D33" s="150">
        <v>0</v>
      </c>
      <c r="E33" s="150">
        <v>0</v>
      </c>
      <c r="F33" s="150">
        <v>0</v>
      </c>
      <c r="G33" s="150">
        <v>4</v>
      </c>
      <c r="H33" s="150">
        <v>3</v>
      </c>
      <c r="I33" s="150">
        <v>0</v>
      </c>
      <c r="J33" s="150">
        <v>4</v>
      </c>
      <c r="K33" s="150">
        <v>0</v>
      </c>
      <c r="L33" s="150">
        <v>2</v>
      </c>
      <c r="M33" s="150">
        <v>0</v>
      </c>
      <c r="N33" s="150">
        <v>0</v>
      </c>
      <c r="O33" s="150">
        <v>0</v>
      </c>
      <c r="P33" s="150">
        <v>0</v>
      </c>
      <c r="Q33" s="150">
        <v>0</v>
      </c>
      <c r="R33" s="150">
        <v>0</v>
      </c>
      <c r="S33" s="150">
        <v>2</v>
      </c>
      <c r="T33" s="150">
        <v>0</v>
      </c>
    </row>
    <row r="34" spans="1:20">
      <c r="A34" s="39" t="s">
        <v>122</v>
      </c>
      <c r="B34" s="150">
        <v>0</v>
      </c>
      <c r="C34" s="150">
        <v>0</v>
      </c>
      <c r="D34" s="150">
        <v>0</v>
      </c>
      <c r="E34" s="150">
        <v>0</v>
      </c>
      <c r="F34" s="150">
        <v>0</v>
      </c>
      <c r="G34" s="150">
        <v>3</v>
      </c>
      <c r="H34" s="150">
        <v>2</v>
      </c>
      <c r="I34" s="150">
        <v>3</v>
      </c>
      <c r="J34" s="150">
        <v>2</v>
      </c>
      <c r="K34" s="150">
        <v>2</v>
      </c>
      <c r="L34" s="150">
        <v>4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</row>
    <row r="35" spans="1:20">
      <c r="A35" s="39" t="s">
        <v>123</v>
      </c>
      <c r="B35" s="150">
        <v>0</v>
      </c>
      <c r="C35" s="150">
        <v>0</v>
      </c>
      <c r="D35" s="150">
        <v>0</v>
      </c>
      <c r="E35" s="150">
        <v>0</v>
      </c>
      <c r="F35" s="150">
        <v>0</v>
      </c>
      <c r="G35" s="150">
        <v>3</v>
      </c>
      <c r="H35" s="150">
        <v>1</v>
      </c>
      <c r="I35" s="150">
        <v>4</v>
      </c>
      <c r="J35" s="150">
        <v>0</v>
      </c>
      <c r="K35" s="150">
        <v>3</v>
      </c>
      <c r="L35" s="150">
        <v>1</v>
      </c>
      <c r="M35" s="150">
        <v>0</v>
      </c>
      <c r="N35" s="150">
        <v>0</v>
      </c>
      <c r="O35" s="150">
        <v>0</v>
      </c>
      <c r="P35" s="150">
        <v>0</v>
      </c>
      <c r="Q35" s="150">
        <v>0</v>
      </c>
      <c r="R35" s="150">
        <v>0</v>
      </c>
      <c r="S35" s="150">
        <v>0</v>
      </c>
      <c r="T35" s="150">
        <v>0</v>
      </c>
    </row>
    <row r="36" spans="1:20">
      <c r="A36" s="39" t="s">
        <v>124</v>
      </c>
      <c r="B36" s="150">
        <v>0</v>
      </c>
      <c r="C36" s="150">
        <v>0</v>
      </c>
      <c r="D36" s="150">
        <v>0</v>
      </c>
      <c r="E36" s="150">
        <v>0</v>
      </c>
      <c r="F36" s="150">
        <v>0</v>
      </c>
      <c r="G36" s="150">
        <v>3</v>
      </c>
      <c r="H36" s="150">
        <v>3</v>
      </c>
      <c r="I36" s="150">
        <v>0</v>
      </c>
      <c r="J36" s="150">
        <v>3</v>
      </c>
      <c r="K36" s="150">
        <v>0</v>
      </c>
      <c r="L36" s="150">
        <v>4</v>
      </c>
      <c r="M36" s="150">
        <v>0</v>
      </c>
      <c r="N36" s="150">
        <v>2</v>
      </c>
      <c r="O36" s="150">
        <v>0</v>
      </c>
      <c r="P36" s="150">
        <v>3</v>
      </c>
      <c r="Q36" s="150">
        <v>4</v>
      </c>
      <c r="R36" s="150">
        <v>0</v>
      </c>
      <c r="S36" s="150">
        <v>0</v>
      </c>
      <c r="T36" s="150">
        <v>2</v>
      </c>
    </row>
    <row r="37" spans="1:20">
      <c r="A37" s="39" t="s">
        <v>125</v>
      </c>
      <c r="B37" s="150">
        <v>0</v>
      </c>
      <c r="C37" s="150">
        <v>0</v>
      </c>
      <c r="D37" s="150">
        <v>0</v>
      </c>
      <c r="E37" s="150">
        <v>0</v>
      </c>
      <c r="F37" s="150">
        <v>0</v>
      </c>
      <c r="G37" s="150">
        <v>3</v>
      </c>
      <c r="H37" s="150">
        <v>4</v>
      </c>
      <c r="I37" s="150">
        <v>0</v>
      </c>
      <c r="J37" s="150">
        <v>2</v>
      </c>
      <c r="K37" s="150">
        <v>0</v>
      </c>
      <c r="L37" s="150">
        <v>4</v>
      </c>
      <c r="M37" s="150">
        <v>0</v>
      </c>
      <c r="N37" s="150">
        <v>3</v>
      </c>
      <c r="O37" s="150">
        <v>0</v>
      </c>
      <c r="P37" s="150">
        <v>3</v>
      </c>
      <c r="Q37" s="150">
        <v>2</v>
      </c>
      <c r="R37" s="150">
        <v>0</v>
      </c>
      <c r="S37" s="150">
        <v>0</v>
      </c>
      <c r="T37" s="150">
        <v>3</v>
      </c>
    </row>
    <row r="38" spans="1:20">
      <c r="A38" s="39" t="s">
        <v>126</v>
      </c>
      <c r="B38" s="150">
        <v>0</v>
      </c>
      <c r="C38" s="150">
        <v>0</v>
      </c>
      <c r="D38" s="150">
        <v>0</v>
      </c>
      <c r="E38" s="150">
        <v>0</v>
      </c>
      <c r="F38" s="150">
        <v>0</v>
      </c>
      <c r="G38" s="150">
        <v>3</v>
      </c>
      <c r="H38" s="150">
        <v>4</v>
      </c>
      <c r="I38" s="150">
        <v>2</v>
      </c>
      <c r="J38" s="150">
        <v>0</v>
      </c>
      <c r="K38" s="150">
        <v>0</v>
      </c>
      <c r="L38" s="150">
        <v>2</v>
      </c>
      <c r="M38" s="150">
        <v>0</v>
      </c>
      <c r="N38" s="150">
        <v>2</v>
      </c>
      <c r="O38" s="150">
        <v>0</v>
      </c>
      <c r="P38" s="150">
        <v>0</v>
      </c>
      <c r="Q38" s="150">
        <v>0</v>
      </c>
      <c r="R38" s="150">
        <v>0</v>
      </c>
      <c r="S38" s="150">
        <v>0</v>
      </c>
      <c r="T38" s="150">
        <v>3</v>
      </c>
    </row>
    <row r="39" spans="1:20">
      <c r="A39" s="38" t="s">
        <v>127</v>
      </c>
      <c r="B39" s="150">
        <v>1</v>
      </c>
      <c r="C39" s="150">
        <v>2</v>
      </c>
      <c r="D39" s="150">
        <v>2</v>
      </c>
      <c r="E39" s="150">
        <v>0</v>
      </c>
      <c r="F39" s="150">
        <v>0</v>
      </c>
      <c r="G39" s="150">
        <v>2</v>
      </c>
      <c r="H39" s="150">
        <v>2</v>
      </c>
      <c r="I39" s="150">
        <v>0</v>
      </c>
      <c r="J39" s="150">
        <v>0</v>
      </c>
      <c r="K39" s="150">
        <v>2</v>
      </c>
      <c r="L39" s="150">
        <v>3</v>
      </c>
      <c r="M39" s="150">
        <v>2</v>
      </c>
      <c r="N39" s="150">
        <v>2</v>
      </c>
      <c r="O39" s="150">
        <v>2</v>
      </c>
      <c r="P39" s="150">
        <v>0</v>
      </c>
      <c r="Q39" s="150">
        <v>2</v>
      </c>
      <c r="R39" s="150">
        <v>0</v>
      </c>
      <c r="S39" s="150">
        <v>0</v>
      </c>
      <c r="T39" s="150">
        <v>2</v>
      </c>
    </row>
    <row r="40" spans="1:20">
      <c r="A40" s="38" t="s">
        <v>128</v>
      </c>
      <c r="B40" s="150">
        <v>1</v>
      </c>
      <c r="C40" s="150">
        <v>2</v>
      </c>
      <c r="D40" s="150">
        <v>2</v>
      </c>
      <c r="E40" s="150">
        <v>0</v>
      </c>
      <c r="F40" s="150">
        <v>0</v>
      </c>
      <c r="G40" s="150">
        <v>3</v>
      </c>
      <c r="H40" s="150">
        <v>3</v>
      </c>
      <c r="I40" s="150">
        <v>0</v>
      </c>
      <c r="J40" s="150">
        <v>0</v>
      </c>
      <c r="K40" s="150">
        <v>2</v>
      </c>
      <c r="L40" s="150">
        <v>3</v>
      </c>
      <c r="M40" s="150">
        <v>2</v>
      </c>
      <c r="N40" s="150">
        <v>2</v>
      </c>
      <c r="O40" s="150">
        <v>3</v>
      </c>
      <c r="P40" s="150">
        <v>0</v>
      </c>
      <c r="Q40" s="150">
        <v>2</v>
      </c>
      <c r="R40" s="150">
        <v>0</v>
      </c>
      <c r="S40" s="150">
        <v>0</v>
      </c>
      <c r="T40" s="150">
        <v>2</v>
      </c>
    </row>
    <row r="41" spans="1:20">
      <c r="A41" s="38" t="s">
        <v>129</v>
      </c>
      <c r="B41" s="150">
        <v>0</v>
      </c>
      <c r="C41" s="150">
        <v>1</v>
      </c>
      <c r="D41" s="150">
        <v>0</v>
      </c>
      <c r="E41" s="150">
        <v>0</v>
      </c>
      <c r="F41" s="150">
        <v>0</v>
      </c>
      <c r="G41" s="150">
        <v>1</v>
      </c>
      <c r="H41" s="150">
        <v>2</v>
      </c>
      <c r="I41" s="150">
        <v>0</v>
      </c>
      <c r="J41" s="150">
        <v>0</v>
      </c>
      <c r="K41" s="150">
        <v>0</v>
      </c>
      <c r="L41" s="150">
        <v>3</v>
      </c>
      <c r="M41" s="150">
        <v>2</v>
      </c>
      <c r="N41" s="150">
        <v>4</v>
      </c>
      <c r="O41" s="150">
        <v>2</v>
      </c>
      <c r="P41" s="150">
        <v>0</v>
      </c>
      <c r="Q41" s="150">
        <v>0</v>
      </c>
      <c r="R41" s="150">
        <v>0</v>
      </c>
      <c r="S41" s="150">
        <v>0</v>
      </c>
      <c r="T41" s="150">
        <v>2</v>
      </c>
    </row>
    <row r="42" spans="1:20">
      <c r="A42" s="38" t="s">
        <v>130</v>
      </c>
      <c r="B42" s="150">
        <v>1</v>
      </c>
      <c r="C42" s="150">
        <v>2</v>
      </c>
      <c r="D42" s="150">
        <v>0</v>
      </c>
      <c r="E42" s="150">
        <v>0</v>
      </c>
      <c r="F42" s="150">
        <v>0</v>
      </c>
      <c r="G42" s="150">
        <v>0</v>
      </c>
      <c r="H42" s="150">
        <v>3</v>
      </c>
      <c r="I42" s="150">
        <v>0</v>
      </c>
      <c r="J42" s="150">
        <v>0</v>
      </c>
      <c r="K42" s="150">
        <v>2</v>
      </c>
      <c r="L42" s="150">
        <v>3</v>
      </c>
      <c r="M42" s="150">
        <v>2</v>
      </c>
      <c r="N42" s="150">
        <v>2</v>
      </c>
      <c r="O42" s="150">
        <v>4</v>
      </c>
      <c r="P42" s="150">
        <v>0</v>
      </c>
      <c r="Q42" s="150">
        <v>2</v>
      </c>
      <c r="R42" s="150">
        <v>2</v>
      </c>
      <c r="S42" s="150">
        <v>0</v>
      </c>
      <c r="T42" s="150">
        <v>2</v>
      </c>
    </row>
  </sheetData>
  <sheetProtection algorithmName="SHA-512" hashValue="UGY9Jcf4mcmyM9Ov5ENE6nVp0Yj5V6DoLYrwC1eu6IM15tV9JF0bqnkyYXTbPkDQeRP+Q+aWzzjqz3MqO5EbqQ==" saltValue="iN+pB/MZkrddJzB/c1Jnew==" spinCount="100000" sheet="1" objects="1" scenarios="1" selectLockedCells="1" selectUnlockedCells="1"/>
  <mergeCells count="1">
    <mergeCell ref="A1:A2"/>
  </mergeCells>
  <conditionalFormatting sqref="B3:T42">
    <cfRule type="cellIs" dxfId="26" priority="1" operator="equal">
      <formula>1</formula>
    </cfRule>
    <cfRule type="cellIs" dxfId="25" priority="2" operator="equal">
      <formula>2</formula>
    </cfRule>
    <cfRule type="cellIs" dxfId="24" priority="3" operator="equal">
      <formula>3</formula>
    </cfRule>
    <cfRule type="cellIs" dxfId="23" priority="4" operator="equal">
      <formula>4</formula>
    </cfRule>
  </conditionalFormatting>
  <pageMargins left="0.25" right="0.25" top="0.75" bottom="0.75" header="0.3" footer="0.3"/>
  <pageSetup paperSize="5" scale="84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3DAB-8F40-4AE8-BB93-CB0DFF5A946B}">
  <sheetPr>
    <tabColor theme="9" tint="-0.499984740745262"/>
    <pageSetUpPr fitToPage="1"/>
  </sheetPr>
  <dimension ref="A1:U70"/>
  <sheetViews>
    <sheetView showGridLines="0" zoomScale="85" zoomScaleNormal="85" workbookViewId="0">
      <pane ySplit="2" topLeftCell="A5" activePane="bottomLeft" state="frozen"/>
      <selection pane="bottomLeft" activeCell="F26" sqref="F26"/>
      <selection activeCell="A9" sqref="A9:B9"/>
    </sheetView>
  </sheetViews>
  <sheetFormatPr defaultRowHeight="14.45"/>
  <cols>
    <col min="1" max="1" width="11.5703125" customWidth="1"/>
    <col min="2" max="2" width="7.5703125" customWidth="1"/>
    <col min="3" max="3" width="7.42578125" customWidth="1"/>
    <col min="4" max="4" width="10.5703125" customWidth="1"/>
    <col min="5" max="5" width="12.5703125" customWidth="1"/>
    <col min="6" max="6" width="10.28515625" customWidth="1"/>
    <col min="8" max="8" width="5.7109375" customWidth="1"/>
    <col min="9" max="9" width="8.140625" customWidth="1"/>
    <col min="10" max="10" width="13.140625" customWidth="1"/>
  </cols>
  <sheetData>
    <row r="1" spans="1:21" ht="36" customHeight="1">
      <c r="A1" s="204" t="s">
        <v>293</v>
      </c>
      <c r="B1" s="205"/>
      <c r="C1" s="205"/>
      <c r="D1" s="205"/>
      <c r="E1" s="205"/>
      <c r="F1" s="205"/>
      <c r="G1" s="205"/>
      <c r="H1" s="205"/>
      <c r="I1" s="205"/>
      <c r="J1" s="205"/>
      <c r="K1" s="204" t="s">
        <v>293</v>
      </c>
      <c r="L1" s="205"/>
      <c r="M1" s="205"/>
      <c r="N1" s="205"/>
      <c r="O1" s="205"/>
      <c r="P1" s="205"/>
      <c r="Q1" s="205"/>
      <c r="R1" s="205"/>
      <c r="S1" s="205"/>
      <c r="T1" s="205"/>
      <c r="U1" s="205"/>
    </row>
    <row r="2" spans="1:21" ht="11.1" customHeight="1"/>
    <row r="3" spans="1:21" s="19" customFormat="1" ht="21" customHeight="1">
      <c r="A3" s="202" t="s">
        <v>294</v>
      </c>
      <c r="B3" s="202"/>
      <c r="C3" s="202"/>
      <c r="D3" s="202"/>
      <c r="E3" s="202"/>
      <c r="F3" s="202"/>
      <c r="G3" s="202"/>
      <c r="H3" s="202"/>
      <c r="I3" s="202"/>
      <c r="J3" s="202"/>
      <c r="K3" s="202" t="s">
        <v>294</v>
      </c>
      <c r="L3" s="202"/>
      <c r="M3" s="202"/>
      <c r="N3" s="202"/>
      <c r="O3" s="202"/>
      <c r="P3" s="202"/>
      <c r="Q3" s="202"/>
      <c r="R3" s="202"/>
      <c r="S3" s="202"/>
      <c r="T3" s="202"/>
      <c r="U3" s="202"/>
    </row>
    <row r="4" spans="1:21" s="32" customFormat="1" ht="19.5" customHeight="1">
      <c r="A4"/>
      <c r="B4"/>
      <c r="C4"/>
      <c r="D4"/>
      <c r="E4"/>
      <c r="F4"/>
      <c r="G4"/>
      <c r="H4"/>
      <c r="I4"/>
      <c r="J4"/>
    </row>
    <row r="5" spans="1:21" s="19" customFormat="1" ht="37.5" customHeight="1">
      <c r="A5" s="215" t="s">
        <v>295</v>
      </c>
      <c r="B5" s="215"/>
      <c r="C5" s="215"/>
      <c r="D5" s="215"/>
      <c r="E5" s="215"/>
      <c r="F5" s="95" t="s">
        <v>296</v>
      </c>
      <c r="G5" s="95" t="s">
        <v>73</v>
      </c>
      <c r="H5" s="34"/>
      <c r="I5" s="34"/>
      <c r="J5" s="34"/>
    </row>
    <row r="6" spans="1:21" s="19" customFormat="1" ht="34.5" customHeight="1">
      <c r="A6" s="213" t="s">
        <v>297</v>
      </c>
      <c r="B6" s="213"/>
      <c r="C6" s="213"/>
      <c r="D6" s="231"/>
      <c r="E6" s="231"/>
      <c r="F6" s="108">
        <v>3</v>
      </c>
      <c r="G6" s="104">
        <v>2</v>
      </c>
      <c r="I6" s="36">
        <v>1</v>
      </c>
      <c r="J6" s="45" t="s">
        <v>298</v>
      </c>
    </row>
    <row r="7" spans="1:21" s="19" customFormat="1" ht="41.1" customHeight="1">
      <c r="A7" s="213" t="s">
        <v>299</v>
      </c>
      <c r="B7" s="213"/>
      <c r="C7" s="213"/>
      <c r="D7" s="231"/>
      <c r="E7" s="231"/>
      <c r="F7" s="108">
        <v>2</v>
      </c>
      <c r="G7" s="104">
        <v>2</v>
      </c>
      <c r="I7" s="36">
        <v>2</v>
      </c>
      <c r="J7" s="45" t="s">
        <v>300</v>
      </c>
    </row>
    <row r="8" spans="1:21" s="19" customFormat="1" ht="27.95" customHeight="1">
      <c r="A8" s="213" t="s">
        <v>301</v>
      </c>
      <c r="B8" s="213"/>
      <c r="C8" s="213"/>
      <c r="D8" s="231"/>
      <c r="E8" s="231"/>
      <c r="F8" s="108">
        <v>3</v>
      </c>
      <c r="G8" s="104">
        <v>2</v>
      </c>
      <c r="I8" s="36">
        <v>3</v>
      </c>
      <c r="J8" s="45" t="s">
        <v>302</v>
      </c>
    </row>
    <row r="9" spans="1:21" s="19" customFormat="1" ht="16.5" customHeight="1">
      <c r="A9" s="213" t="s">
        <v>303</v>
      </c>
      <c r="B9" s="213"/>
      <c r="C9" s="213"/>
      <c r="D9" s="231"/>
      <c r="E9" s="231"/>
      <c r="F9" s="108">
        <v>2</v>
      </c>
      <c r="G9" s="104">
        <v>2</v>
      </c>
    </row>
    <row r="10" spans="1:21" s="19" customFormat="1" ht="18.75" customHeight="1">
      <c r="A10" s="213" t="s">
        <v>304</v>
      </c>
      <c r="B10" s="213"/>
      <c r="C10" s="213"/>
      <c r="D10" s="231"/>
      <c r="E10" s="231"/>
      <c r="F10" s="108">
        <v>2</v>
      </c>
      <c r="G10" s="104">
        <v>2</v>
      </c>
    </row>
    <row r="11" spans="1:21" s="19" customFormat="1" ht="27.95" customHeight="1">
      <c r="A11" s="213" t="s">
        <v>305</v>
      </c>
      <c r="B11" s="213"/>
      <c r="C11" s="213"/>
      <c r="D11" s="231"/>
      <c r="E11" s="231"/>
      <c r="F11" s="108">
        <v>1</v>
      </c>
      <c r="G11" s="104">
        <v>2</v>
      </c>
    </row>
    <row r="12" spans="1:21" s="19" customFormat="1" ht="41.1" customHeight="1">
      <c r="A12" s="213" t="s">
        <v>306</v>
      </c>
      <c r="B12" s="213"/>
      <c r="C12" s="213"/>
      <c r="D12" s="231"/>
      <c r="E12" s="231"/>
      <c r="F12" s="108">
        <v>2</v>
      </c>
      <c r="G12" s="104">
        <v>2</v>
      </c>
    </row>
    <row r="13" spans="1:21" s="19" customFormat="1" ht="27.95" customHeight="1">
      <c r="A13" s="213" t="s">
        <v>307</v>
      </c>
      <c r="B13" s="213"/>
      <c r="C13" s="213"/>
      <c r="D13" s="231"/>
      <c r="E13" s="231"/>
      <c r="F13" s="108">
        <v>3</v>
      </c>
      <c r="G13" s="104">
        <v>2</v>
      </c>
    </row>
    <row r="14" spans="1:21" s="19" customFormat="1" ht="27.95" customHeight="1">
      <c r="A14" s="213" t="s">
        <v>308</v>
      </c>
      <c r="B14" s="213"/>
      <c r="C14" s="213"/>
      <c r="D14" s="231"/>
      <c r="E14" s="231"/>
      <c r="F14" s="108">
        <v>2</v>
      </c>
      <c r="G14" s="104">
        <v>2</v>
      </c>
    </row>
    <row r="15" spans="1:21" s="19" customFormat="1" ht="27.95" customHeight="1">
      <c r="A15" s="213" t="s">
        <v>309</v>
      </c>
      <c r="B15" s="213"/>
      <c r="C15" s="213"/>
      <c r="D15" s="231"/>
      <c r="E15" s="231"/>
      <c r="F15" s="108">
        <v>2</v>
      </c>
      <c r="G15" s="104">
        <v>2</v>
      </c>
    </row>
    <row r="16" spans="1:21" s="19" customFormat="1" ht="33" customHeight="1">
      <c r="A16" s="213" t="s">
        <v>310</v>
      </c>
      <c r="B16" s="213"/>
      <c r="C16" s="213"/>
      <c r="D16" s="231"/>
      <c r="E16" s="231"/>
      <c r="F16" s="108">
        <v>1</v>
      </c>
      <c r="G16" s="104">
        <v>2</v>
      </c>
    </row>
    <row r="17" spans="1:21" s="19" customFormat="1" ht="27.95" customHeight="1">
      <c r="A17" s="213" t="s">
        <v>311</v>
      </c>
      <c r="B17" s="213"/>
      <c r="C17" s="213"/>
      <c r="D17" s="231"/>
      <c r="E17" s="231"/>
      <c r="F17" s="108">
        <v>2</v>
      </c>
      <c r="G17" s="104">
        <v>2</v>
      </c>
    </row>
    <row r="18" spans="1:21" s="19" customFormat="1" ht="21" customHeight="1">
      <c r="A18" s="213" t="s">
        <v>312</v>
      </c>
      <c r="B18" s="213"/>
      <c r="C18" s="213"/>
      <c r="D18" s="231"/>
      <c r="E18" s="231"/>
      <c r="F18" s="108">
        <v>1</v>
      </c>
      <c r="G18" s="104">
        <v>2</v>
      </c>
    </row>
    <row r="19" spans="1:21" s="19" customFormat="1" ht="27.95" customHeight="1">
      <c r="A19" s="213" t="s">
        <v>313</v>
      </c>
      <c r="B19" s="213"/>
      <c r="C19" s="213"/>
      <c r="D19" s="231"/>
      <c r="E19" s="231"/>
      <c r="F19" s="108">
        <v>2</v>
      </c>
      <c r="G19" s="104">
        <v>2</v>
      </c>
    </row>
    <row r="20" spans="1:21" s="19" customFormat="1" ht="41.1" customHeight="1">
      <c r="A20" s="213" t="s">
        <v>314</v>
      </c>
      <c r="B20" s="213"/>
      <c r="C20" s="213"/>
      <c r="D20" s="231"/>
      <c r="E20" s="231"/>
      <c r="F20" s="108">
        <v>2</v>
      </c>
      <c r="G20" s="104">
        <v>2</v>
      </c>
    </row>
    <row r="21" spans="1:21" s="19" customFormat="1" ht="27.95" customHeight="1">
      <c r="A21" s="213" t="s">
        <v>315</v>
      </c>
      <c r="B21" s="213"/>
      <c r="C21" s="213"/>
      <c r="D21" s="231"/>
      <c r="E21" s="231"/>
      <c r="F21" s="108">
        <v>3</v>
      </c>
      <c r="G21" s="104">
        <v>2</v>
      </c>
    </row>
    <row r="22" spans="1:21" s="19" customFormat="1" ht="41.1" customHeight="1">
      <c r="A22" s="213" t="s">
        <v>316</v>
      </c>
      <c r="B22" s="213"/>
      <c r="C22" s="213"/>
      <c r="D22" s="231"/>
      <c r="E22" s="231"/>
      <c r="F22" s="108">
        <v>1</v>
      </c>
      <c r="G22" s="104">
        <v>2</v>
      </c>
    </row>
    <row r="23" spans="1:21" s="19" customFormat="1" ht="55.5" customHeight="1">
      <c r="A23" s="213" t="s">
        <v>317</v>
      </c>
      <c r="B23" s="213"/>
      <c r="C23" s="213"/>
      <c r="D23" s="231"/>
      <c r="E23" s="231"/>
      <c r="F23" s="108">
        <v>2</v>
      </c>
      <c r="G23" s="104">
        <v>2</v>
      </c>
      <c r="I23" s="106" t="s">
        <v>78</v>
      </c>
      <c r="J23" s="107">
        <f>AVERAGE(F6:F25)</f>
        <v>1.95</v>
      </c>
    </row>
    <row r="24" spans="1:21" s="19" customFormat="1" ht="15.75" customHeight="1">
      <c r="A24" s="213" t="s">
        <v>318</v>
      </c>
      <c r="B24" s="213"/>
      <c r="C24" s="213"/>
      <c r="D24" s="231"/>
      <c r="E24" s="231"/>
      <c r="F24" s="108">
        <v>2</v>
      </c>
      <c r="G24" s="104">
        <v>2</v>
      </c>
      <c r="I24" s="106" t="s">
        <v>79</v>
      </c>
      <c r="J24" s="107">
        <f>STDEVP(F6:F25)</f>
        <v>0.66895440801298256</v>
      </c>
    </row>
    <row r="25" spans="1:21" ht="14.25" customHeight="1">
      <c r="A25" s="213" t="s">
        <v>319</v>
      </c>
      <c r="B25" s="213"/>
      <c r="C25" s="213"/>
      <c r="D25" s="231"/>
      <c r="E25" s="231"/>
      <c r="F25" s="108">
        <v>1</v>
      </c>
      <c r="G25" s="104">
        <v>2</v>
      </c>
      <c r="H25" s="19"/>
      <c r="I25" s="106" t="s">
        <v>80</v>
      </c>
      <c r="J25" s="107">
        <f>AVERAGE(G6:G25)/J23</f>
        <v>1.0256410256410258</v>
      </c>
    </row>
    <row r="26" spans="1:21" s="33" customFormat="1" ht="15.6">
      <c r="A26"/>
      <c r="B26" s="26"/>
      <c r="C26" s="26"/>
      <c r="D26" s="26"/>
      <c r="E26"/>
      <c r="F26"/>
      <c r="G26"/>
      <c r="H26"/>
      <c r="I26"/>
      <c r="J26"/>
    </row>
    <row r="27" spans="1:21" s="32" customFormat="1" ht="24.6" customHeight="1">
      <c r="A27" s="207" t="s">
        <v>81</v>
      </c>
      <c r="B27" s="207"/>
      <c r="C27" s="207"/>
      <c r="D27" s="207"/>
      <c r="E27" s="207"/>
      <c r="F27" s="207"/>
      <c r="G27" s="207"/>
      <c r="H27" s="207"/>
      <c r="I27" s="207"/>
      <c r="J27" s="207"/>
      <c r="K27" s="207" t="s">
        <v>81</v>
      </c>
      <c r="L27" s="207"/>
      <c r="M27" s="207"/>
      <c r="N27" s="207"/>
      <c r="O27" s="207"/>
      <c r="P27" s="207"/>
      <c r="Q27" s="207"/>
      <c r="R27" s="207"/>
      <c r="S27" s="207"/>
      <c r="T27" s="207"/>
      <c r="U27" s="207"/>
    </row>
    <row r="28" spans="1:21" ht="7.5" customHeight="1"/>
    <row r="29" spans="1:21" ht="43.5" customHeight="1">
      <c r="A29" s="199" t="s">
        <v>147</v>
      </c>
      <c r="B29" s="200"/>
      <c r="C29" s="200"/>
      <c r="D29" s="200"/>
      <c r="F29" s="32"/>
      <c r="G29" s="32"/>
      <c r="H29" s="32"/>
      <c r="I29" s="32"/>
      <c r="J29" s="32"/>
    </row>
    <row r="30" spans="1:21" ht="55.15">
      <c r="A30" s="93" t="s">
        <v>83</v>
      </c>
      <c r="B30" s="94" t="s">
        <v>84</v>
      </c>
      <c r="C30" s="94" t="s">
        <v>85</v>
      </c>
      <c r="D30" s="94" t="s">
        <v>86</v>
      </c>
      <c r="F30" s="32"/>
      <c r="G30" s="32"/>
      <c r="H30" s="32"/>
      <c r="I30" s="32"/>
    </row>
    <row r="31" spans="1:21">
      <c r="A31" s="27" t="s">
        <v>91</v>
      </c>
      <c r="B31" s="102">
        <f t="array" ref="B31:B70">MMULT(DF4map!B2:U41,'DF4'!F6:F25)</f>
        <v>67</v>
      </c>
      <c r="C31" s="103">
        <f t="array" ref="C31:C70">MMULT(DF4map!B2:U41,'DF4'!G6:G25)</f>
        <v>70</v>
      </c>
      <c r="D31" s="148">
        <f t="shared" ref="D31:D70" si="0">IFERROR(MROUND(($J$25*100*B31/C31),5)-100,0)</f>
        <v>0</v>
      </c>
    </row>
    <row r="32" spans="1:21">
      <c r="A32" s="27" t="s">
        <v>92</v>
      </c>
      <c r="B32" s="102">
        <v>64.5</v>
      </c>
      <c r="C32" s="103">
        <v>70</v>
      </c>
      <c r="D32" s="148">
        <f t="shared" si="0"/>
        <v>-5</v>
      </c>
      <c r="G32" s="1"/>
    </row>
    <row r="33" spans="1:4">
      <c r="A33" s="27" t="s">
        <v>93</v>
      </c>
      <c r="B33" s="102">
        <v>47</v>
      </c>
      <c r="C33" s="103">
        <v>47</v>
      </c>
      <c r="D33" s="148">
        <f t="shared" si="0"/>
        <v>5</v>
      </c>
    </row>
    <row r="34" spans="1:4">
      <c r="A34" s="27" t="s">
        <v>94</v>
      </c>
      <c r="B34" s="102">
        <v>63.5</v>
      </c>
      <c r="C34" s="103">
        <v>67</v>
      </c>
      <c r="D34" s="148">
        <f t="shared" si="0"/>
        <v>-5</v>
      </c>
    </row>
    <row r="35" spans="1:4">
      <c r="A35" s="27" t="s">
        <v>95</v>
      </c>
      <c r="B35" s="102">
        <v>37</v>
      </c>
      <c r="C35" s="103">
        <v>41</v>
      </c>
      <c r="D35" s="148">
        <f t="shared" si="0"/>
        <v>-5</v>
      </c>
    </row>
    <row r="36" spans="1:4">
      <c r="A36" s="28" t="s">
        <v>96</v>
      </c>
      <c r="B36" s="102">
        <v>55</v>
      </c>
      <c r="C36" s="103">
        <v>56</v>
      </c>
      <c r="D36" s="148">
        <f t="shared" si="0"/>
        <v>0</v>
      </c>
    </row>
    <row r="37" spans="1:4">
      <c r="A37" s="28" t="s">
        <v>97</v>
      </c>
      <c r="B37" s="102">
        <v>45.5</v>
      </c>
      <c r="C37" s="103">
        <v>50</v>
      </c>
      <c r="D37" s="148">
        <f t="shared" si="0"/>
        <v>-5</v>
      </c>
    </row>
    <row r="38" spans="1:4">
      <c r="A38" s="28" t="s">
        <v>98</v>
      </c>
      <c r="B38" s="102">
        <v>66</v>
      </c>
      <c r="C38" s="103">
        <v>66</v>
      </c>
      <c r="D38" s="148">
        <f t="shared" si="0"/>
        <v>5</v>
      </c>
    </row>
    <row r="39" spans="1:4">
      <c r="A39" s="28" t="s">
        <v>99</v>
      </c>
      <c r="B39" s="102">
        <v>28.5</v>
      </c>
      <c r="C39" s="103">
        <v>32</v>
      </c>
      <c r="D39" s="148">
        <f t="shared" si="0"/>
        <v>-10</v>
      </c>
    </row>
    <row r="40" spans="1:4">
      <c r="A40" s="28" t="s">
        <v>100</v>
      </c>
      <c r="B40" s="102">
        <v>65</v>
      </c>
      <c r="C40" s="103">
        <v>68</v>
      </c>
      <c r="D40" s="148">
        <f t="shared" si="0"/>
        <v>0</v>
      </c>
    </row>
    <row r="41" spans="1:4">
      <c r="A41" s="28" t="s">
        <v>101</v>
      </c>
      <c r="B41" s="102">
        <v>61.5</v>
      </c>
      <c r="C41" s="103">
        <v>62</v>
      </c>
      <c r="D41" s="148">
        <f t="shared" si="0"/>
        <v>0</v>
      </c>
    </row>
    <row r="42" spans="1:4">
      <c r="A42" s="28" t="s">
        <v>102</v>
      </c>
      <c r="B42" s="102">
        <v>47.5</v>
      </c>
      <c r="C42" s="103">
        <v>47</v>
      </c>
      <c r="D42" s="148">
        <f t="shared" si="0"/>
        <v>5</v>
      </c>
    </row>
    <row r="43" spans="1:4">
      <c r="A43" s="28" t="s">
        <v>103</v>
      </c>
      <c r="B43" s="102">
        <v>68.5</v>
      </c>
      <c r="C43" s="103">
        <v>70</v>
      </c>
      <c r="D43" s="148">
        <f t="shared" si="0"/>
        <v>0</v>
      </c>
    </row>
    <row r="44" spans="1:4">
      <c r="A44" s="28" t="s">
        <v>104</v>
      </c>
      <c r="B44" s="102">
        <v>44.5</v>
      </c>
      <c r="C44" s="103">
        <v>43</v>
      </c>
      <c r="D44" s="148">
        <f t="shared" si="0"/>
        <v>5</v>
      </c>
    </row>
    <row r="45" spans="1:4">
      <c r="A45" s="28" t="s">
        <v>105</v>
      </c>
      <c r="B45" s="102">
        <v>39</v>
      </c>
      <c r="C45" s="103">
        <v>39</v>
      </c>
      <c r="D45" s="148">
        <f t="shared" si="0"/>
        <v>5</v>
      </c>
    </row>
    <row r="46" spans="1:4">
      <c r="A46" s="28" t="s">
        <v>106</v>
      </c>
      <c r="B46" s="102">
        <v>44</v>
      </c>
      <c r="C46" s="103">
        <v>43</v>
      </c>
      <c r="D46" s="148">
        <f t="shared" si="0"/>
        <v>5</v>
      </c>
    </row>
    <row r="47" spans="1:4">
      <c r="A47" s="28" t="s">
        <v>107</v>
      </c>
      <c r="B47" s="102">
        <v>52.5</v>
      </c>
      <c r="C47" s="103">
        <v>52</v>
      </c>
      <c r="D47" s="148">
        <f t="shared" si="0"/>
        <v>5</v>
      </c>
    </row>
    <row r="48" spans="1:4">
      <c r="A48" s="28" t="s">
        <v>108</v>
      </c>
      <c r="B48" s="102">
        <v>35</v>
      </c>
      <c r="C48" s="103">
        <v>33</v>
      </c>
      <c r="D48" s="148">
        <f t="shared" si="0"/>
        <v>10</v>
      </c>
    </row>
    <row r="49" spans="1:4">
      <c r="A49" s="28" t="s">
        <v>109</v>
      </c>
      <c r="B49" s="102">
        <v>64.5</v>
      </c>
      <c r="C49" s="103">
        <v>60</v>
      </c>
      <c r="D49" s="148">
        <f t="shared" si="0"/>
        <v>10</v>
      </c>
    </row>
    <row r="50" spans="1:4">
      <c r="A50" s="27" t="s">
        <v>110</v>
      </c>
      <c r="B50" s="102">
        <v>35.5</v>
      </c>
      <c r="C50" s="103">
        <v>35</v>
      </c>
      <c r="D50" s="148">
        <f t="shared" si="0"/>
        <v>5</v>
      </c>
    </row>
    <row r="51" spans="1:4">
      <c r="A51" s="27" t="s">
        <v>111</v>
      </c>
      <c r="B51" s="102">
        <v>48</v>
      </c>
      <c r="C51" s="103">
        <v>51</v>
      </c>
      <c r="D51" s="148">
        <f t="shared" si="0"/>
        <v>-5</v>
      </c>
    </row>
    <row r="52" spans="1:4">
      <c r="A52" s="27" t="s">
        <v>112</v>
      </c>
      <c r="B52" s="102">
        <v>40</v>
      </c>
      <c r="C52" s="103">
        <v>41</v>
      </c>
      <c r="D52" s="148">
        <f t="shared" si="0"/>
        <v>0</v>
      </c>
    </row>
    <row r="53" spans="1:4">
      <c r="A53" s="27" t="s">
        <v>113</v>
      </c>
      <c r="B53" s="102">
        <v>22.5</v>
      </c>
      <c r="C53" s="103">
        <v>23</v>
      </c>
      <c r="D53" s="148">
        <f t="shared" si="0"/>
        <v>0</v>
      </c>
    </row>
    <row r="54" spans="1:4">
      <c r="A54" s="27" t="s">
        <v>114</v>
      </c>
      <c r="B54" s="102">
        <v>27</v>
      </c>
      <c r="C54" s="103">
        <v>28</v>
      </c>
      <c r="D54" s="148">
        <f t="shared" si="0"/>
        <v>0</v>
      </c>
    </row>
    <row r="55" spans="1:4">
      <c r="A55" s="27" t="s">
        <v>115</v>
      </c>
      <c r="B55" s="102">
        <v>42.5</v>
      </c>
      <c r="C55" s="103">
        <v>42</v>
      </c>
      <c r="D55" s="148">
        <f t="shared" si="0"/>
        <v>5</v>
      </c>
    </row>
    <row r="56" spans="1:4">
      <c r="A56" s="27" t="s">
        <v>116</v>
      </c>
      <c r="B56" s="102">
        <v>38</v>
      </c>
      <c r="C56" s="103">
        <v>38</v>
      </c>
      <c r="D56" s="148">
        <f t="shared" si="0"/>
        <v>5</v>
      </c>
    </row>
    <row r="57" spans="1:4">
      <c r="A57" s="27" t="s">
        <v>117</v>
      </c>
      <c r="B57" s="102">
        <v>32</v>
      </c>
      <c r="C57" s="103">
        <v>31</v>
      </c>
      <c r="D57" s="148">
        <f t="shared" si="0"/>
        <v>5</v>
      </c>
    </row>
    <row r="58" spans="1:4">
      <c r="A58" s="27" t="s">
        <v>118</v>
      </c>
      <c r="B58" s="102">
        <v>23.5</v>
      </c>
      <c r="C58" s="103">
        <v>23</v>
      </c>
      <c r="D58" s="148">
        <f t="shared" si="0"/>
        <v>5</v>
      </c>
    </row>
    <row r="59" spans="1:4">
      <c r="A59" s="27" t="s">
        <v>119</v>
      </c>
      <c r="B59" s="102">
        <v>27.5</v>
      </c>
      <c r="C59" s="103">
        <v>25</v>
      </c>
      <c r="D59" s="148">
        <f t="shared" si="0"/>
        <v>15</v>
      </c>
    </row>
    <row r="60" spans="1:4">
      <c r="A60" s="27" t="s">
        <v>120</v>
      </c>
      <c r="B60" s="102">
        <v>48.5</v>
      </c>
      <c r="C60" s="103">
        <v>45</v>
      </c>
      <c r="D60" s="148">
        <f t="shared" si="0"/>
        <v>10</v>
      </c>
    </row>
    <row r="61" spans="1:4">
      <c r="A61" s="28" t="s">
        <v>121</v>
      </c>
      <c r="B61" s="102">
        <v>27.5</v>
      </c>
      <c r="C61" s="103">
        <v>27</v>
      </c>
      <c r="D61" s="148">
        <f t="shared" si="0"/>
        <v>5</v>
      </c>
    </row>
    <row r="62" spans="1:4">
      <c r="A62" s="28" t="s">
        <v>122</v>
      </c>
      <c r="B62" s="102">
        <v>34.5</v>
      </c>
      <c r="C62" s="103">
        <v>33</v>
      </c>
      <c r="D62" s="148">
        <f t="shared" si="0"/>
        <v>5</v>
      </c>
    </row>
    <row r="63" spans="1:4">
      <c r="A63" s="28" t="s">
        <v>123</v>
      </c>
      <c r="B63" s="102">
        <v>32</v>
      </c>
      <c r="C63" s="103">
        <v>32</v>
      </c>
      <c r="D63" s="148">
        <f t="shared" si="0"/>
        <v>5</v>
      </c>
    </row>
    <row r="64" spans="1:4">
      <c r="A64" s="28" t="s">
        <v>124</v>
      </c>
      <c r="B64" s="102">
        <v>24.5</v>
      </c>
      <c r="C64" s="103">
        <v>21</v>
      </c>
      <c r="D64" s="148">
        <f t="shared" si="0"/>
        <v>20</v>
      </c>
    </row>
    <row r="65" spans="1:4">
      <c r="A65" s="28" t="s">
        <v>125</v>
      </c>
      <c r="B65" s="102">
        <v>33.5</v>
      </c>
      <c r="C65" s="103">
        <v>29</v>
      </c>
      <c r="D65" s="148">
        <f t="shared" si="0"/>
        <v>20</v>
      </c>
    </row>
    <row r="66" spans="1:4">
      <c r="A66" s="28" t="s">
        <v>126</v>
      </c>
      <c r="B66" s="102">
        <v>30</v>
      </c>
      <c r="C66" s="103">
        <v>29</v>
      </c>
      <c r="D66" s="148">
        <f t="shared" si="0"/>
        <v>5</v>
      </c>
    </row>
    <row r="67" spans="1:4">
      <c r="A67" s="27" t="s">
        <v>127</v>
      </c>
      <c r="B67" s="102">
        <v>58.5</v>
      </c>
      <c r="C67" s="103">
        <v>61</v>
      </c>
      <c r="D67" s="148">
        <f t="shared" si="0"/>
        <v>0</v>
      </c>
    </row>
    <row r="68" spans="1:4">
      <c r="A68" s="27" t="s">
        <v>128</v>
      </c>
      <c r="B68" s="102">
        <v>46.5</v>
      </c>
      <c r="C68" s="103">
        <v>48</v>
      </c>
      <c r="D68" s="148">
        <f t="shared" si="0"/>
        <v>0</v>
      </c>
    </row>
    <row r="69" spans="1:4">
      <c r="A69" s="27" t="s">
        <v>129</v>
      </c>
      <c r="B69" s="102">
        <v>32.5</v>
      </c>
      <c r="C69" s="103">
        <v>29</v>
      </c>
      <c r="D69" s="148">
        <f t="shared" si="0"/>
        <v>15</v>
      </c>
    </row>
    <row r="70" spans="1:4">
      <c r="A70" s="27" t="s">
        <v>130</v>
      </c>
      <c r="B70" s="102">
        <v>55.5</v>
      </c>
      <c r="C70" s="103">
        <v>58</v>
      </c>
      <c r="D70" s="148">
        <f t="shared" si="0"/>
        <v>0</v>
      </c>
    </row>
  </sheetData>
  <sheetProtection algorithmName="SHA-512" hashValue="lvVW/lZJlef5CIat6gSUs+P/YT9bUskHjv7WKTnEosx9riBllJCXUtVu52JvdxOds3N4T0uiOAkoohh0L8nfxQ==" saltValue="vvvRJDrmCC8x6zdsi4R3fA==" spinCount="100000" sheet="1" objects="1" scenarios="1"/>
  <mergeCells count="28">
    <mergeCell ref="A29:D29"/>
    <mergeCell ref="A27:J27"/>
    <mergeCell ref="K27:U27"/>
    <mergeCell ref="A23:E23"/>
    <mergeCell ref="A24:E24"/>
    <mergeCell ref="A25:E25"/>
    <mergeCell ref="K1:U1"/>
    <mergeCell ref="K3:U3"/>
    <mergeCell ref="A5:E5"/>
    <mergeCell ref="A6:E6"/>
    <mergeCell ref="A7:E7"/>
    <mergeCell ref="A1:J1"/>
    <mergeCell ref="A3:J3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</mergeCells>
  <conditionalFormatting sqref="F6:F25">
    <cfRule type="iconSet" priority="2">
      <iconSet iconSet="3Symbols" showValue="0" reverse="1">
        <cfvo type="percent" val="0"/>
        <cfvo type="num" val="2"/>
        <cfvo type="num" val="3"/>
      </iconSet>
    </cfRule>
  </conditionalFormatting>
  <conditionalFormatting sqref="I6:I8">
    <cfRule type="iconSet" priority="1">
      <iconSet iconSet="3Symbols" showValue="0" reverse="1">
        <cfvo type="percent" val="0"/>
        <cfvo type="percent" val="33"/>
        <cfvo type="percent" val="67"/>
      </iconSet>
    </cfRule>
  </conditionalFormatting>
  <dataValidations count="1">
    <dataValidation type="decimal" allowBlank="1" showInputMessage="1" showErrorMessage="1" sqref="F6:F25" xr:uid="{3C7C0516-271D-46F7-9839-67EE27FF394B}">
      <formula1>1</formula1>
      <formula2>3</formula2>
    </dataValidation>
  </dataValidations>
  <pageMargins left="0.25" right="0.25" top="0.75" bottom="0.75" header="0.3" footer="0.3"/>
  <pageSetup paperSize="5" scale="88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25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8AA9-5165-4EEC-99D6-EDDFF0E7AA0B}">
  <sheetPr>
    <tabColor theme="8" tint="-0.499984740745262"/>
    <pageSetUpPr fitToPage="1"/>
  </sheetPr>
  <dimension ref="A1:W50"/>
  <sheetViews>
    <sheetView showGridLines="0" zoomScale="55" zoomScaleNormal="55" workbookViewId="0"/>
  </sheetViews>
  <sheetFormatPr defaultRowHeight="14.45"/>
  <cols>
    <col min="2" max="2" width="24.42578125" style="1" bestFit="1" customWidth="1"/>
    <col min="3" max="3" width="27.28515625" style="1" bestFit="1" customWidth="1"/>
    <col min="4" max="4" width="22.140625" style="1" bestFit="1" customWidth="1"/>
    <col min="5" max="5" width="22.5703125" style="1" bestFit="1" customWidth="1"/>
    <col min="6" max="6" width="21.7109375" style="1" bestFit="1" customWidth="1"/>
    <col min="7" max="7" width="22.5703125" style="1" bestFit="1" customWidth="1"/>
    <col min="8" max="8" width="28.5703125" style="1" bestFit="1" customWidth="1"/>
    <col min="9" max="9" width="21.42578125" style="1" bestFit="1" customWidth="1"/>
    <col min="10" max="10" width="22.5703125" style="1" bestFit="1" customWidth="1"/>
    <col min="11" max="11" width="22.140625" style="1" bestFit="1" customWidth="1"/>
    <col min="12" max="12" width="25.85546875" style="1" bestFit="1" customWidth="1"/>
    <col min="13" max="13" width="22.140625" style="1" bestFit="1" customWidth="1"/>
    <col min="14" max="14" width="22" style="1" bestFit="1" customWidth="1"/>
    <col min="15" max="15" width="23" style="1" bestFit="1" customWidth="1"/>
    <col min="16" max="16" width="28.140625" style="1" bestFit="1" customWidth="1"/>
    <col min="17" max="17" width="22.42578125" style="1" bestFit="1" customWidth="1"/>
    <col min="18" max="18" width="26.42578125" style="1" bestFit="1" customWidth="1"/>
    <col min="19" max="19" width="30.28515625" style="1" bestFit="1" customWidth="1"/>
    <col min="20" max="20" width="20.5703125" style="1" bestFit="1" customWidth="1"/>
    <col min="21" max="21" width="22.42578125" style="1" bestFit="1" customWidth="1"/>
  </cols>
  <sheetData>
    <row r="1" spans="1:23" ht="148.5" customHeight="1">
      <c r="A1" s="42" t="s">
        <v>320</v>
      </c>
      <c r="B1" s="40" t="s">
        <v>297</v>
      </c>
      <c r="C1" s="40" t="s">
        <v>299</v>
      </c>
      <c r="D1" s="40" t="s">
        <v>321</v>
      </c>
      <c r="E1" s="40" t="s">
        <v>303</v>
      </c>
      <c r="F1" s="40" t="s">
        <v>304</v>
      </c>
      <c r="G1" s="40" t="s">
        <v>305</v>
      </c>
      <c r="H1" s="40" t="s">
        <v>322</v>
      </c>
      <c r="I1" s="40" t="s">
        <v>323</v>
      </c>
      <c r="J1" s="40" t="s">
        <v>324</v>
      </c>
      <c r="K1" s="40" t="s">
        <v>325</v>
      </c>
      <c r="L1" s="40" t="s">
        <v>310</v>
      </c>
      <c r="M1" s="40" t="s">
        <v>311</v>
      </c>
      <c r="N1" s="40" t="s">
        <v>312</v>
      </c>
      <c r="O1" s="40" t="s">
        <v>313</v>
      </c>
      <c r="P1" s="40" t="s">
        <v>326</v>
      </c>
      <c r="Q1" s="40" t="s">
        <v>327</v>
      </c>
      <c r="R1" s="40" t="s">
        <v>316</v>
      </c>
      <c r="S1" s="40" t="s">
        <v>328</v>
      </c>
      <c r="T1" s="40" t="s">
        <v>318</v>
      </c>
      <c r="U1" s="40" t="s">
        <v>319</v>
      </c>
    </row>
    <row r="2" spans="1:23" s="41" customFormat="1" ht="20.45" customHeight="1">
      <c r="A2" s="38" t="s">
        <v>91</v>
      </c>
      <c r="B2" s="149">
        <v>3</v>
      </c>
      <c r="C2" s="149">
        <v>3</v>
      </c>
      <c r="D2" s="149">
        <v>1</v>
      </c>
      <c r="E2" s="149">
        <v>1</v>
      </c>
      <c r="F2" s="149">
        <v>2</v>
      </c>
      <c r="G2" s="149">
        <v>2</v>
      </c>
      <c r="H2" s="149">
        <v>2</v>
      </c>
      <c r="I2" s="149">
        <v>1</v>
      </c>
      <c r="J2" s="149">
        <v>1</v>
      </c>
      <c r="K2" s="149">
        <v>1</v>
      </c>
      <c r="L2" s="149">
        <v>3</v>
      </c>
      <c r="M2" s="149">
        <v>3.5</v>
      </c>
      <c r="N2" s="149">
        <v>1</v>
      </c>
      <c r="O2" s="149">
        <v>1</v>
      </c>
      <c r="P2" s="149">
        <v>1</v>
      </c>
      <c r="Q2" s="149">
        <v>1</v>
      </c>
      <c r="R2" s="149">
        <v>2</v>
      </c>
      <c r="S2" s="149">
        <v>3</v>
      </c>
      <c r="T2" s="149">
        <v>1.5</v>
      </c>
      <c r="U2" s="149">
        <v>1</v>
      </c>
      <c r="W2" s="44">
        <f>SUM(B2:U2)</f>
        <v>35</v>
      </c>
    </row>
    <row r="3" spans="1:23" s="41" customFormat="1" ht="20.45" customHeight="1">
      <c r="A3" s="38" t="s">
        <v>92</v>
      </c>
      <c r="B3" s="149">
        <v>2.5</v>
      </c>
      <c r="C3" s="149">
        <v>3</v>
      </c>
      <c r="D3" s="149">
        <v>1</v>
      </c>
      <c r="E3" s="149">
        <v>1</v>
      </c>
      <c r="F3" s="149">
        <v>1.5</v>
      </c>
      <c r="G3" s="149">
        <v>2.5</v>
      </c>
      <c r="H3" s="149">
        <v>2</v>
      </c>
      <c r="I3" s="149">
        <v>1.5</v>
      </c>
      <c r="J3" s="149">
        <v>0.5</v>
      </c>
      <c r="K3" s="149">
        <v>2.5</v>
      </c>
      <c r="L3" s="149">
        <v>1.5</v>
      </c>
      <c r="M3" s="149">
        <v>1</v>
      </c>
      <c r="N3" s="149">
        <v>3</v>
      </c>
      <c r="O3" s="149">
        <v>2</v>
      </c>
      <c r="P3" s="149">
        <v>1</v>
      </c>
      <c r="Q3" s="149">
        <v>1</v>
      </c>
      <c r="R3" s="149">
        <v>2</v>
      </c>
      <c r="S3" s="149">
        <v>2</v>
      </c>
      <c r="T3" s="149">
        <v>1</v>
      </c>
      <c r="U3" s="149">
        <v>2.5</v>
      </c>
      <c r="W3" s="44">
        <f t="shared" ref="W3:W41" si="0">SUM(B3:U3)</f>
        <v>35</v>
      </c>
    </row>
    <row r="4" spans="1:23" s="41" customFormat="1" ht="20.45" customHeight="1">
      <c r="A4" s="38" t="s">
        <v>93</v>
      </c>
      <c r="B4" s="149">
        <v>1</v>
      </c>
      <c r="C4" s="149">
        <v>1</v>
      </c>
      <c r="D4" s="149">
        <v>2</v>
      </c>
      <c r="E4" s="149">
        <v>1</v>
      </c>
      <c r="F4" s="149">
        <v>2</v>
      </c>
      <c r="G4" s="149">
        <v>2</v>
      </c>
      <c r="H4" s="149">
        <v>1</v>
      </c>
      <c r="I4" s="149">
        <v>1</v>
      </c>
      <c r="J4" s="149">
        <v>0</v>
      </c>
      <c r="K4" s="149">
        <v>0.5</v>
      </c>
      <c r="L4" s="149">
        <v>1</v>
      </c>
      <c r="M4" s="149">
        <v>0</v>
      </c>
      <c r="N4" s="149">
        <v>1</v>
      </c>
      <c r="O4" s="149">
        <v>1.5</v>
      </c>
      <c r="P4" s="149">
        <v>1</v>
      </c>
      <c r="Q4" s="149">
        <v>2</v>
      </c>
      <c r="R4" s="149">
        <v>1</v>
      </c>
      <c r="S4" s="149">
        <v>1</v>
      </c>
      <c r="T4" s="149">
        <v>2.5</v>
      </c>
      <c r="U4" s="149">
        <v>1</v>
      </c>
      <c r="W4" s="44">
        <f t="shared" si="0"/>
        <v>23.5</v>
      </c>
    </row>
    <row r="5" spans="1:23" s="41" customFormat="1" ht="20.45" customHeight="1">
      <c r="A5" s="38" t="s">
        <v>94</v>
      </c>
      <c r="B5" s="149">
        <v>1</v>
      </c>
      <c r="C5" s="149">
        <v>1</v>
      </c>
      <c r="D5" s="149">
        <v>1</v>
      </c>
      <c r="E5" s="149">
        <v>1</v>
      </c>
      <c r="F5" s="149">
        <v>1</v>
      </c>
      <c r="G5" s="149">
        <v>2</v>
      </c>
      <c r="H5" s="149">
        <v>3</v>
      </c>
      <c r="I5" s="149">
        <v>3.5</v>
      </c>
      <c r="J5" s="149">
        <v>3.5</v>
      </c>
      <c r="K5" s="149">
        <v>1</v>
      </c>
      <c r="L5" s="149">
        <v>1.5</v>
      </c>
      <c r="M5" s="149">
        <v>0</v>
      </c>
      <c r="N5" s="149">
        <v>4</v>
      </c>
      <c r="O5" s="149">
        <v>2</v>
      </c>
      <c r="P5" s="149">
        <v>1</v>
      </c>
      <c r="Q5" s="149">
        <v>1.5</v>
      </c>
      <c r="R5" s="149">
        <v>2</v>
      </c>
      <c r="S5" s="149">
        <v>2.5</v>
      </c>
      <c r="T5" s="149">
        <v>0</v>
      </c>
      <c r="U5" s="149">
        <v>1</v>
      </c>
      <c r="W5" s="44">
        <f t="shared" si="0"/>
        <v>33.5</v>
      </c>
    </row>
    <row r="6" spans="1:23" s="41" customFormat="1" ht="20.45" customHeight="1">
      <c r="A6" s="38" t="s">
        <v>95</v>
      </c>
      <c r="B6" s="149">
        <v>1</v>
      </c>
      <c r="C6" s="149">
        <v>1</v>
      </c>
      <c r="D6" s="149">
        <v>1</v>
      </c>
      <c r="E6" s="149">
        <v>1</v>
      </c>
      <c r="F6" s="149">
        <v>1.5</v>
      </c>
      <c r="G6" s="149">
        <v>2</v>
      </c>
      <c r="H6" s="149">
        <v>1</v>
      </c>
      <c r="I6" s="149">
        <v>1</v>
      </c>
      <c r="J6" s="149">
        <v>0</v>
      </c>
      <c r="K6" s="149">
        <v>1</v>
      </c>
      <c r="L6" s="149">
        <v>3</v>
      </c>
      <c r="M6" s="149">
        <v>1.5</v>
      </c>
      <c r="N6" s="149">
        <v>1.5</v>
      </c>
      <c r="O6" s="149">
        <v>0.5</v>
      </c>
      <c r="P6" s="149">
        <v>0</v>
      </c>
      <c r="Q6" s="149">
        <v>0.5</v>
      </c>
      <c r="R6" s="149">
        <v>1</v>
      </c>
      <c r="S6" s="149">
        <v>1</v>
      </c>
      <c r="T6" s="149">
        <v>1</v>
      </c>
      <c r="U6" s="149">
        <v>0</v>
      </c>
      <c r="W6" s="44">
        <f t="shared" si="0"/>
        <v>20.5</v>
      </c>
    </row>
    <row r="7" spans="1:23" s="41" customFormat="1" ht="20.45" customHeight="1">
      <c r="A7" s="39" t="s">
        <v>96</v>
      </c>
      <c r="B7" s="149">
        <v>2</v>
      </c>
      <c r="C7" s="149">
        <v>1</v>
      </c>
      <c r="D7" s="149">
        <v>2</v>
      </c>
      <c r="E7" s="149">
        <v>1</v>
      </c>
      <c r="F7" s="149">
        <v>2</v>
      </c>
      <c r="G7" s="149">
        <v>2</v>
      </c>
      <c r="H7" s="149">
        <v>1</v>
      </c>
      <c r="I7" s="149">
        <v>1</v>
      </c>
      <c r="J7" s="149">
        <v>0</v>
      </c>
      <c r="K7" s="149">
        <v>0.5</v>
      </c>
      <c r="L7" s="149">
        <v>1.5</v>
      </c>
      <c r="M7" s="149">
        <v>4</v>
      </c>
      <c r="N7" s="149">
        <v>1</v>
      </c>
      <c r="O7" s="149">
        <v>2</v>
      </c>
      <c r="P7" s="149">
        <v>1</v>
      </c>
      <c r="Q7" s="149">
        <v>1</v>
      </c>
      <c r="R7" s="149">
        <v>1.5</v>
      </c>
      <c r="S7" s="149">
        <v>2</v>
      </c>
      <c r="T7" s="149">
        <v>0.5</v>
      </c>
      <c r="U7" s="149">
        <v>1</v>
      </c>
      <c r="W7" s="44">
        <f t="shared" si="0"/>
        <v>28</v>
      </c>
    </row>
    <row r="8" spans="1:23" s="41" customFormat="1" ht="20.45" customHeight="1">
      <c r="A8" s="39" t="s">
        <v>97</v>
      </c>
      <c r="B8" s="149">
        <v>1.5</v>
      </c>
      <c r="C8" s="149">
        <v>1.5</v>
      </c>
      <c r="D8" s="149">
        <v>1.5</v>
      </c>
      <c r="E8" s="149">
        <v>1.5</v>
      </c>
      <c r="F8" s="149">
        <v>1</v>
      </c>
      <c r="G8" s="149">
        <v>1.5</v>
      </c>
      <c r="H8" s="149">
        <v>1</v>
      </c>
      <c r="I8" s="149">
        <v>1</v>
      </c>
      <c r="J8" s="149">
        <v>0</v>
      </c>
      <c r="K8" s="149">
        <v>1</v>
      </c>
      <c r="L8" s="149">
        <v>2.5</v>
      </c>
      <c r="M8" s="149">
        <v>0.5</v>
      </c>
      <c r="N8" s="149">
        <v>0.5</v>
      </c>
      <c r="O8" s="149">
        <v>1.5</v>
      </c>
      <c r="P8" s="149">
        <v>1.5</v>
      </c>
      <c r="Q8" s="149">
        <v>0.5</v>
      </c>
      <c r="R8" s="149">
        <v>2</v>
      </c>
      <c r="S8" s="149">
        <v>2</v>
      </c>
      <c r="T8" s="149">
        <v>0</v>
      </c>
      <c r="U8" s="149">
        <v>2.5</v>
      </c>
      <c r="W8" s="44">
        <f t="shared" si="0"/>
        <v>25</v>
      </c>
    </row>
    <row r="9" spans="1:23" s="41" customFormat="1" ht="20.45" customHeight="1">
      <c r="A9" s="39" t="s">
        <v>98</v>
      </c>
      <c r="B9" s="149">
        <v>1</v>
      </c>
      <c r="C9" s="149">
        <v>1.5</v>
      </c>
      <c r="D9" s="149">
        <v>1</v>
      </c>
      <c r="E9" s="149">
        <v>2</v>
      </c>
      <c r="F9" s="149">
        <v>0.5</v>
      </c>
      <c r="G9" s="149">
        <v>1.5</v>
      </c>
      <c r="H9" s="149">
        <v>2</v>
      </c>
      <c r="I9" s="149">
        <v>1.5</v>
      </c>
      <c r="J9" s="149">
        <v>1</v>
      </c>
      <c r="K9" s="149">
        <v>3.5</v>
      </c>
      <c r="L9" s="149">
        <v>0.5</v>
      </c>
      <c r="M9" s="149">
        <v>0.5</v>
      </c>
      <c r="N9" s="149">
        <v>1</v>
      </c>
      <c r="O9" s="149">
        <v>4</v>
      </c>
      <c r="P9" s="149">
        <v>1</v>
      </c>
      <c r="Q9" s="149">
        <v>3.5</v>
      </c>
      <c r="R9" s="149">
        <v>2</v>
      </c>
      <c r="S9" s="149">
        <v>3</v>
      </c>
      <c r="T9" s="149">
        <v>0</v>
      </c>
      <c r="U9" s="149">
        <v>2</v>
      </c>
      <c r="W9" s="44">
        <f t="shared" si="0"/>
        <v>33</v>
      </c>
    </row>
    <row r="10" spans="1:23" s="41" customFormat="1" ht="20.45" customHeight="1">
      <c r="A10" s="39" t="s">
        <v>99</v>
      </c>
      <c r="B10" s="149">
        <v>1</v>
      </c>
      <c r="C10" s="149">
        <v>1</v>
      </c>
      <c r="D10" s="149">
        <v>1</v>
      </c>
      <c r="E10" s="149">
        <v>1</v>
      </c>
      <c r="F10" s="149">
        <v>0.5</v>
      </c>
      <c r="G10" s="149">
        <v>0.5</v>
      </c>
      <c r="H10" s="149">
        <v>0.5</v>
      </c>
      <c r="I10" s="149">
        <v>0.5</v>
      </c>
      <c r="J10" s="149">
        <v>0</v>
      </c>
      <c r="K10" s="149">
        <v>0</v>
      </c>
      <c r="L10" s="149">
        <v>0.5</v>
      </c>
      <c r="M10" s="149">
        <v>1</v>
      </c>
      <c r="N10" s="149">
        <v>0.5</v>
      </c>
      <c r="O10" s="149">
        <v>2</v>
      </c>
      <c r="P10" s="149">
        <v>1</v>
      </c>
      <c r="Q10" s="149">
        <v>0</v>
      </c>
      <c r="R10" s="149">
        <v>0.5</v>
      </c>
      <c r="S10" s="149">
        <v>0.5</v>
      </c>
      <c r="T10" s="149">
        <v>0</v>
      </c>
      <c r="U10" s="149">
        <v>4</v>
      </c>
      <c r="W10" s="44">
        <f t="shared" si="0"/>
        <v>16</v>
      </c>
    </row>
    <row r="11" spans="1:23" s="41" customFormat="1" ht="20.45" customHeight="1">
      <c r="A11" s="39" t="s">
        <v>100</v>
      </c>
      <c r="B11" s="149">
        <v>3</v>
      </c>
      <c r="C11" s="149">
        <v>3</v>
      </c>
      <c r="D11" s="149">
        <v>1</v>
      </c>
      <c r="E11" s="149">
        <v>1.5</v>
      </c>
      <c r="F11" s="149">
        <v>2</v>
      </c>
      <c r="G11" s="149">
        <v>2</v>
      </c>
      <c r="H11" s="149">
        <v>1.5</v>
      </c>
      <c r="I11" s="149">
        <v>3.5</v>
      </c>
      <c r="J11" s="149">
        <v>0.5</v>
      </c>
      <c r="K11" s="149">
        <v>2</v>
      </c>
      <c r="L11" s="149">
        <v>2</v>
      </c>
      <c r="M11" s="149">
        <v>1.5</v>
      </c>
      <c r="N11" s="149">
        <v>2</v>
      </c>
      <c r="O11" s="149">
        <v>1</v>
      </c>
      <c r="P11" s="149">
        <v>0.5</v>
      </c>
      <c r="Q11" s="149">
        <v>0</v>
      </c>
      <c r="R11" s="149">
        <v>2.5</v>
      </c>
      <c r="S11" s="149">
        <v>2.5</v>
      </c>
      <c r="T11" s="149">
        <v>0</v>
      </c>
      <c r="U11" s="149">
        <v>2</v>
      </c>
      <c r="W11" s="44">
        <f t="shared" si="0"/>
        <v>34</v>
      </c>
    </row>
    <row r="12" spans="1:23" s="41" customFormat="1" ht="20.45" customHeight="1">
      <c r="A12" s="39" t="s">
        <v>101</v>
      </c>
      <c r="B12" s="149">
        <v>3.5</v>
      </c>
      <c r="C12" s="149">
        <v>2</v>
      </c>
      <c r="D12" s="149">
        <v>1</v>
      </c>
      <c r="E12" s="149">
        <v>1.5</v>
      </c>
      <c r="F12" s="149">
        <v>1.5</v>
      </c>
      <c r="G12" s="149">
        <v>2</v>
      </c>
      <c r="H12" s="149">
        <v>4</v>
      </c>
      <c r="I12" s="149">
        <v>3</v>
      </c>
      <c r="J12" s="149">
        <v>1</v>
      </c>
      <c r="K12" s="149">
        <v>2</v>
      </c>
      <c r="L12" s="149">
        <v>1</v>
      </c>
      <c r="M12" s="149">
        <v>1.5</v>
      </c>
      <c r="N12" s="149">
        <v>4</v>
      </c>
      <c r="O12" s="149">
        <v>0</v>
      </c>
      <c r="P12" s="149">
        <v>0</v>
      </c>
      <c r="Q12" s="149">
        <v>0</v>
      </c>
      <c r="R12" s="149">
        <v>1</v>
      </c>
      <c r="S12" s="149">
        <v>2</v>
      </c>
      <c r="T12" s="149">
        <v>0</v>
      </c>
      <c r="U12" s="149">
        <v>0</v>
      </c>
      <c r="W12" s="44">
        <f t="shared" si="0"/>
        <v>31</v>
      </c>
    </row>
    <row r="13" spans="1:23" s="41" customFormat="1" ht="20.45" customHeight="1">
      <c r="A13" s="39" t="s">
        <v>102</v>
      </c>
      <c r="B13" s="149">
        <v>1.5</v>
      </c>
      <c r="C13" s="149">
        <v>1</v>
      </c>
      <c r="D13" s="149">
        <v>1</v>
      </c>
      <c r="E13" s="149">
        <v>1</v>
      </c>
      <c r="F13" s="149">
        <v>1</v>
      </c>
      <c r="G13" s="149">
        <v>1.5</v>
      </c>
      <c r="H13" s="149">
        <v>2</v>
      </c>
      <c r="I13" s="149">
        <v>2</v>
      </c>
      <c r="J13" s="149">
        <v>4</v>
      </c>
      <c r="K13" s="149">
        <v>1</v>
      </c>
      <c r="L13" s="149">
        <v>0</v>
      </c>
      <c r="M13" s="149">
        <v>0</v>
      </c>
      <c r="N13" s="149">
        <v>1</v>
      </c>
      <c r="O13" s="149">
        <v>0</v>
      </c>
      <c r="P13" s="149">
        <v>3</v>
      </c>
      <c r="Q13" s="149">
        <v>0</v>
      </c>
      <c r="R13" s="149">
        <v>0.5</v>
      </c>
      <c r="S13" s="149">
        <v>0.5</v>
      </c>
      <c r="T13" s="149">
        <v>1.5</v>
      </c>
      <c r="U13" s="149">
        <v>1</v>
      </c>
      <c r="W13" s="44">
        <f t="shared" si="0"/>
        <v>23.5</v>
      </c>
    </row>
    <row r="14" spans="1:23" s="41" customFormat="1" ht="20.45" customHeight="1">
      <c r="A14" s="39" t="s">
        <v>103</v>
      </c>
      <c r="B14" s="149">
        <v>2.5</v>
      </c>
      <c r="C14" s="149">
        <v>2</v>
      </c>
      <c r="D14" s="149">
        <v>1</v>
      </c>
      <c r="E14" s="149">
        <v>2.5</v>
      </c>
      <c r="F14" s="149">
        <v>1.5</v>
      </c>
      <c r="G14" s="149">
        <v>1</v>
      </c>
      <c r="H14" s="149">
        <v>2.5</v>
      </c>
      <c r="I14" s="149">
        <v>2</v>
      </c>
      <c r="J14" s="149">
        <v>1.5</v>
      </c>
      <c r="K14" s="149">
        <v>1</v>
      </c>
      <c r="L14" s="149">
        <v>3</v>
      </c>
      <c r="M14" s="149">
        <v>1</v>
      </c>
      <c r="N14" s="149">
        <v>0.5</v>
      </c>
      <c r="O14" s="149">
        <v>1</v>
      </c>
      <c r="P14" s="149">
        <v>4</v>
      </c>
      <c r="Q14" s="149">
        <v>1</v>
      </c>
      <c r="R14" s="149">
        <v>3</v>
      </c>
      <c r="S14" s="149">
        <v>3.5</v>
      </c>
      <c r="T14" s="149">
        <v>0</v>
      </c>
      <c r="U14" s="149">
        <v>0.5</v>
      </c>
      <c r="W14" s="44">
        <f t="shared" si="0"/>
        <v>35</v>
      </c>
    </row>
    <row r="15" spans="1:23" s="41" customFormat="1" ht="20.45" customHeight="1">
      <c r="A15" s="39" t="s">
        <v>104</v>
      </c>
      <c r="B15" s="149">
        <v>2</v>
      </c>
      <c r="C15" s="149">
        <v>1.5</v>
      </c>
      <c r="D15" s="149">
        <v>2</v>
      </c>
      <c r="E15" s="149">
        <v>4</v>
      </c>
      <c r="F15" s="149">
        <v>1</v>
      </c>
      <c r="G15" s="149">
        <v>2.5</v>
      </c>
      <c r="H15" s="149">
        <v>1.5</v>
      </c>
      <c r="I15" s="149">
        <v>2</v>
      </c>
      <c r="J15" s="149">
        <v>0.5</v>
      </c>
      <c r="K15" s="149">
        <v>1</v>
      </c>
      <c r="L15" s="149">
        <v>0</v>
      </c>
      <c r="M15" s="149">
        <v>0</v>
      </c>
      <c r="N15" s="149">
        <v>1</v>
      </c>
      <c r="O15" s="149">
        <v>0</v>
      </c>
      <c r="P15" s="149">
        <v>0</v>
      </c>
      <c r="Q15" s="149">
        <v>0</v>
      </c>
      <c r="R15" s="149">
        <v>1</v>
      </c>
      <c r="S15" s="149">
        <v>1.5</v>
      </c>
      <c r="T15" s="149">
        <v>0</v>
      </c>
      <c r="U15" s="149">
        <v>0</v>
      </c>
      <c r="W15" s="44">
        <f t="shared" si="0"/>
        <v>21.5</v>
      </c>
    </row>
    <row r="16" spans="1:23" s="41" customFormat="1" ht="20.45" customHeight="1">
      <c r="A16" s="39" t="s">
        <v>105</v>
      </c>
      <c r="B16" s="149">
        <v>1</v>
      </c>
      <c r="C16" s="149">
        <v>1</v>
      </c>
      <c r="D16" s="149">
        <v>2</v>
      </c>
      <c r="E16" s="149">
        <v>4</v>
      </c>
      <c r="F16" s="149">
        <v>1.5</v>
      </c>
      <c r="G16" s="149">
        <v>1.5</v>
      </c>
      <c r="H16" s="149">
        <v>1.5</v>
      </c>
      <c r="I16" s="149">
        <v>0</v>
      </c>
      <c r="J16" s="149">
        <v>1.5</v>
      </c>
      <c r="K16" s="149">
        <v>1</v>
      </c>
      <c r="L16" s="149">
        <v>0</v>
      </c>
      <c r="M16" s="149">
        <v>0</v>
      </c>
      <c r="N16" s="149">
        <v>1</v>
      </c>
      <c r="O16" s="149">
        <v>0</v>
      </c>
      <c r="P16" s="149">
        <v>0</v>
      </c>
      <c r="Q16" s="149">
        <v>0</v>
      </c>
      <c r="R16" s="149">
        <v>0.5</v>
      </c>
      <c r="S16" s="149">
        <v>2</v>
      </c>
      <c r="T16" s="149">
        <v>1</v>
      </c>
      <c r="U16" s="149">
        <v>0</v>
      </c>
      <c r="W16" s="44">
        <f t="shared" si="0"/>
        <v>19.5</v>
      </c>
    </row>
    <row r="17" spans="1:23" s="41" customFormat="1" ht="20.45" customHeight="1">
      <c r="A17" s="39" t="s">
        <v>106</v>
      </c>
      <c r="B17" s="149">
        <v>1</v>
      </c>
      <c r="C17" s="149">
        <v>1</v>
      </c>
      <c r="D17" s="149">
        <v>3</v>
      </c>
      <c r="E17" s="149">
        <v>1.5</v>
      </c>
      <c r="F17" s="149">
        <v>1</v>
      </c>
      <c r="G17" s="149">
        <v>3</v>
      </c>
      <c r="H17" s="149">
        <v>0</v>
      </c>
      <c r="I17" s="149">
        <v>0</v>
      </c>
      <c r="J17" s="149">
        <v>0</v>
      </c>
      <c r="K17" s="149">
        <v>2</v>
      </c>
      <c r="L17" s="149">
        <v>0</v>
      </c>
      <c r="M17" s="149">
        <v>0</v>
      </c>
      <c r="N17" s="149">
        <v>0</v>
      </c>
      <c r="O17" s="149">
        <v>0.5</v>
      </c>
      <c r="P17" s="149">
        <v>0.5</v>
      </c>
      <c r="Q17" s="149">
        <v>3</v>
      </c>
      <c r="R17" s="149">
        <v>2</v>
      </c>
      <c r="S17" s="149">
        <v>2</v>
      </c>
      <c r="T17" s="149">
        <v>0</v>
      </c>
      <c r="U17" s="149">
        <v>1</v>
      </c>
      <c r="W17" s="44">
        <f t="shared" si="0"/>
        <v>21.5</v>
      </c>
    </row>
    <row r="18" spans="1:23" s="41" customFormat="1" ht="20.45" customHeight="1">
      <c r="A18" s="39" t="s">
        <v>107</v>
      </c>
      <c r="B18" s="149">
        <v>1</v>
      </c>
      <c r="C18" s="149">
        <v>0.5</v>
      </c>
      <c r="D18" s="149">
        <v>2.5</v>
      </c>
      <c r="E18" s="149">
        <v>1.5</v>
      </c>
      <c r="F18" s="149">
        <v>2</v>
      </c>
      <c r="G18" s="149">
        <v>2</v>
      </c>
      <c r="H18" s="149">
        <v>1</v>
      </c>
      <c r="I18" s="149">
        <v>1</v>
      </c>
      <c r="J18" s="149">
        <v>0.5</v>
      </c>
      <c r="K18" s="149">
        <v>1</v>
      </c>
      <c r="L18" s="149">
        <v>1</v>
      </c>
      <c r="M18" s="149">
        <v>1</v>
      </c>
      <c r="N18" s="149">
        <v>1</v>
      </c>
      <c r="O18" s="149">
        <v>1</v>
      </c>
      <c r="P18" s="149">
        <v>1</v>
      </c>
      <c r="Q18" s="149">
        <v>2</v>
      </c>
      <c r="R18" s="149">
        <v>1</v>
      </c>
      <c r="S18" s="149">
        <v>1.5</v>
      </c>
      <c r="T18" s="149">
        <v>2.5</v>
      </c>
      <c r="U18" s="149">
        <v>1</v>
      </c>
      <c r="W18" s="44">
        <f t="shared" si="0"/>
        <v>26</v>
      </c>
    </row>
    <row r="19" spans="1:23" s="41" customFormat="1" ht="20.45" customHeight="1">
      <c r="A19" s="39" t="s">
        <v>108</v>
      </c>
      <c r="B19" s="149">
        <v>0</v>
      </c>
      <c r="C19" s="149">
        <v>0</v>
      </c>
      <c r="D19" s="149">
        <v>3.5</v>
      </c>
      <c r="E19" s="149">
        <v>1</v>
      </c>
      <c r="F19" s="149">
        <v>2</v>
      </c>
      <c r="G19" s="149">
        <v>1</v>
      </c>
      <c r="H19" s="149">
        <v>0</v>
      </c>
      <c r="I19" s="149">
        <v>1</v>
      </c>
      <c r="J19" s="149">
        <v>0</v>
      </c>
      <c r="K19" s="149">
        <v>0.5</v>
      </c>
      <c r="L19" s="149">
        <v>0</v>
      </c>
      <c r="M19" s="149">
        <v>0</v>
      </c>
      <c r="N19" s="149">
        <v>0</v>
      </c>
      <c r="O19" s="149">
        <v>0</v>
      </c>
      <c r="P19" s="149">
        <v>0</v>
      </c>
      <c r="Q19" s="149">
        <v>1.5</v>
      </c>
      <c r="R19" s="149">
        <v>2</v>
      </c>
      <c r="S19" s="149">
        <v>1</v>
      </c>
      <c r="T19" s="149">
        <v>2</v>
      </c>
      <c r="U19" s="149">
        <v>1</v>
      </c>
      <c r="W19" s="44">
        <f t="shared" si="0"/>
        <v>16.5</v>
      </c>
    </row>
    <row r="20" spans="1:23" s="41" customFormat="1" ht="20.45" customHeight="1">
      <c r="A20" s="39" t="s">
        <v>109</v>
      </c>
      <c r="B20" s="149">
        <v>1</v>
      </c>
      <c r="C20" s="149">
        <v>1.5</v>
      </c>
      <c r="D20" s="149">
        <v>3</v>
      </c>
      <c r="E20" s="149">
        <v>1</v>
      </c>
      <c r="F20" s="149">
        <v>2.5</v>
      </c>
      <c r="G20" s="149">
        <v>1.5</v>
      </c>
      <c r="H20" s="149">
        <v>1</v>
      </c>
      <c r="I20" s="149">
        <v>1.5</v>
      </c>
      <c r="J20" s="149">
        <v>0</v>
      </c>
      <c r="K20" s="149">
        <v>1.5</v>
      </c>
      <c r="L20" s="149">
        <v>0</v>
      </c>
      <c r="M20" s="149">
        <v>0</v>
      </c>
      <c r="N20" s="149">
        <v>0.5</v>
      </c>
      <c r="O20" s="149">
        <v>2.5</v>
      </c>
      <c r="P20" s="149">
        <v>0.5</v>
      </c>
      <c r="Q20" s="149">
        <v>4</v>
      </c>
      <c r="R20" s="149">
        <v>2.5</v>
      </c>
      <c r="S20" s="149">
        <v>2</v>
      </c>
      <c r="T20" s="149">
        <v>3</v>
      </c>
      <c r="U20" s="149">
        <v>0.5</v>
      </c>
      <c r="W20" s="44">
        <f t="shared" si="0"/>
        <v>30</v>
      </c>
    </row>
    <row r="21" spans="1:23" s="41" customFormat="1" ht="20.45" customHeight="1">
      <c r="A21" s="38" t="s">
        <v>110</v>
      </c>
      <c r="B21" s="149">
        <v>0</v>
      </c>
      <c r="C21" s="149">
        <v>1</v>
      </c>
      <c r="D21" s="149">
        <v>1.5</v>
      </c>
      <c r="E21" s="149">
        <v>0</v>
      </c>
      <c r="F21" s="149">
        <v>0</v>
      </c>
      <c r="G21" s="149">
        <v>0</v>
      </c>
      <c r="H21" s="149">
        <v>0</v>
      </c>
      <c r="I21" s="149">
        <v>3</v>
      </c>
      <c r="J21" s="149">
        <v>1</v>
      </c>
      <c r="K21" s="149">
        <v>3.5</v>
      </c>
      <c r="L21" s="149">
        <v>0</v>
      </c>
      <c r="M21" s="149">
        <v>0</v>
      </c>
      <c r="N21" s="149">
        <v>1.5</v>
      </c>
      <c r="O21" s="149">
        <v>0.5</v>
      </c>
      <c r="P21" s="149">
        <v>1</v>
      </c>
      <c r="Q21" s="149">
        <v>0</v>
      </c>
      <c r="R21" s="149">
        <v>1.5</v>
      </c>
      <c r="S21" s="149">
        <v>2</v>
      </c>
      <c r="T21" s="149">
        <v>0</v>
      </c>
      <c r="U21" s="149">
        <v>1</v>
      </c>
      <c r="W21" s="44">
        <f t="shared" si="0"/>
        <v>17.5</v>
      </c>
    </row>
    <row r="22" spans="1:23" s="41" customFormat="1" ht="20.45" customHeight="1">
      <c r="A22" s="38" t="s">
        <v>111</v>
      </c>
      <c r="B22" s="149">
        <v>0</v>
      </c>
      <c r="C22" s="149">
        <v>3</v>
      </c>
      <c r="D22" s="149">
        <v>0</v>
      </c>
      <c r="E22" s="149">
        <v>0</v>
      </c>
      <c r="F22" s="149">
        <v>0.5</v>
      </c>
      <c r="G22" s="149">
        <v>2</v>
      </c>
      <c r="H22" s="149">
        <v>0</v>
      </c>
      <c r="I22" s="149">
        <v>2</v>
      </c>
      <c r="J22" s="149">
        <v>0</v>
      </c>
      <c r="K22" s="149">
        <v>3.5</v>
      </c>
      <c r="L22" s="149">
        <v>0</v>
      </c>
      <c r="M22" s="149">
        <v>1</v>
      </c>
      <c r="N22" s="149">
        <v>1</v>
      </c>
      <c r="O22" s="149">
        <v>2</v>
      </c>
      <c r="P22" s="149">
        <v>2</v>
      </c>
      <c r="Q22" s="149">
        <v>1.5</v>
      </c>
      <c r="R22" s="149">
        <v>2.5</v>
      </c>
      <c r="S22" s="149">
        <v>3</v>
      </c>
      <c r="T22" s="149">
        <v>0.5</v>
      </c>
      <c r="U22" s="149">
        <v>1</v>
      </c>
      <c r="W22" s="44">
        <f t="shared" si="0"/>
        <v>25.5</v>
      </c>
    </row>
    <row r="23" spans="1:23" s="41" customFormat="1" ht="20.45" customHeight="1">
      <c r="A23" s="38" t="s">
        <v>112</v>
      </c>
      <c r="B23" s="149">
        <v>1</v>
      </c>
      <c r="C23" s="149">
        <v>2</v>
      </c>
      <c r="D23" s="149">
        <v>2</v>
      </c>
      <c r="E23" s="149">
        <v>0</v>
      </c>
      <c r="F23" s="149">
        <v>0</v>
      </c>
      <c r="G23" s="149">
        <v>2</v>
      </c>
      <c r="H23" s="149">
        <v>0</v>
      </c>
      <c r="I23" s="149">
        <v>1</v>
      </c>
      <c r="J23" s="149">
        <v>0</v>
      </c>
      <c r="K23" s="149">
        <v>3</v>
      </c>
      <c r="L23" s="149">
        <v>0</v>
      </c>
      <c r="M23" s="149">
        <v>0.5</v>
      </c>
      <c r="N23" s="149">
        <v>1</v>
      </c>
      <c r="O23" s="149">
        <v>1</v>
      </c>
      <c r="P23" s="149">
        <v>1</v>
      </c>
      <c r="Q23" s="149">
        <v>0.5</v>
      </c>
      <c r="R23" s="149">
        <v>2</v>
      </c>
      <c r="S23" s="149">
        <v>2</v>
      </c>
      <c r="T23" s="149">
        <v>1</v>
      </c>
      <c r="U23" s="149">
        <v>0.5</v>
      </c>
      <c r="W23" s="44">
        <f t="shared" si="0"/>
        <v>20.5</v>
      </c>
    </row>
    <row r="24" spans="1:23" s="41" customFormat="1" ht="20.45" customHeight="1">
      <c r="A24" s="38" t="s">
        <v>113</v>
      </c>
      <c r="B24" s="149">
        <v>0.5</v>
      </c>
      <c r="C24" s="149">
        <v>0</v>
      </c>
      <c r="D24" s="149">
        <v>2</v>
      </c>
      <c r="E24" s="149">
        <v>3</v>
      </c>
      <c r="F24" s="149">
        <v>0</v>
      </c>
      <c r="G24" s="149">
        <v>2</v>
      </c>
      <c r="H24" s="149">
        <v>0</v>
      </c>
      <c r="I24" s="149">
        <v>0</v>
      </c>
      <c r="J24" s="149">
        <v>0</v>
      </c>
      <c r="K24" s="149">
        <v>0</v>
      </c>
      <c r="L24" s="149">
        <v>0</v>
      </c>
      <c r="M24" s="149">
        <v>0</v>
      </c>
      <c r="N24" s="149">
        <v>0.5</v>
      </c>
      <c r="O24" s="149">
        <v>0</v>
      </c>
      <c r="P24" s="149">
        <v>0</v>
      </c>
      <c r="Q24" s="149">
        <v>1</v>
      </c>
      <c r="R24" s="149">
        <v>1</v>
      </c>
      <c r="S24" s="149">
        <v>1</v>
      </c>
      <c r="T24" s="149">
        <v>0</v>
      </c>
      <c r="U24" s="149">
        <v>0.5</v>
      </c>
      <c r="W24" s="44">
        <f t="shared" si="0"/>
        <v>11.5</v>
      </c>
    </row>
    <row r="25" spans="1:23" s="41" customFormat="1" ht="20.45" customHeight="1">
      <c r="A25" s="38" t="s">
        <v>114</v>
      </c>
      <c r="B25" s="149">
        <v>1</v>
      </c>
      <c r="C25" s="149">
        <v>3</v>
      </c>
      <c r="D25" s="149">
        <v>0</v>
      </c>
      <c r="E25" s="149">
        <v>0</v>
      </c>
      <c r="F25" s="149">
        <v>0</v>
      </c>
      <c r="G25" s="149">
        <v>0</v>
      </c>
      <c r="H25" s="149">
        <v>0</v>
      </c>
      <c r="I25" s="149">
        <v>0.5</v>
      </c>
      <c r="J25" s="149">
        <v>0</v>
      </c>
      <c r="K25" s="149">
        <v>3</v>
      </c>
      <c r="L25" s="149">
        <v>1</v>
      </c>
      <c r="M25" s="149">
        <v>0</v>
      </c>
      <c r="N25" s="149">
        <v>0</v>
      </c>
      <c r="O25" s="149">
        <v>0.5</v>
      </c>
      <c r="P25" s="149">
        <v>2</v>
      </c>
      <c r="Q25" s="149">
        <v>0</v>
      </c>
      <c r="R25" s="149">
        <v>0.5</v>
      </c>
      <c r="S25" s="149">
        <v>1.5</v>
      </c>
      <c r="T25" s="149">
        <v>0</v>
      </c>
      <c r="U25" s="149">
        <v>1</v>
      </c>
      <c r="W25" s="44">
        <f t="shared" si="0"/>
        <v>14</v>
      </c>
    </row>
    <row r="26" spans="1:23" s="41" customFormat="1" ht="20.45" customHeight="1">
      <c r="A26" s="38" t="s">
        <v>115</v>
      </c>
      <c r="B26" s="149">
        <v>0</v>
      </c>
      <c r="C26" s="149">
        <v>0</v>
      </c>
      <c r="D26" s="149">
        <v>2.5</v>
      </c>
      <c r="E26" s="149">
        <v>3</v>
      </c>
      <c r="F26" s="149">
        <v>0.5</v>
      </c>
      <c r="G26" s="149">
        <v>1.5</v>
      </c>
      <c r="H26" s="149">
        <v>0</v>
      </c>
      <c r="I26" s="149">
        <v>1</v>
      </c>
      <c r="J26" s="149">
        <v>0</v>
      </c>
      <c r="K26" s="149">
        <v>1.5</v>
      </c>
      <c r="L26" s="149">
        <v>0</v>
      </c>
      <c r="M26" s="149">
        <v>1</v>
      </c>
      <c r="N26" s="149">
        <v>0.5</v>
      </c>
      <c r="O26" s="149">
        <v>1</v>
      </c>
      <c r="P26" s="149">
        <v>0.5</v>
      </c>
      <c r="Q26" s="149">
        <v>2</v>
      </c>
      <c r="R26" s="149">
        <v>2</v>
      </c>
      <c r="S26" s="149">
        <v>2</v>
      </c>
      <c r="T26" s="149">
        <v>1</v>
      </c>
      <c r="U26" s="149">
        <v>1</v>
      </c>
      <c r="W26" s="44">
        <f t="shared" si="0"/>
        <v>21</v>
      </c>
    </row>
    <row r="27" spans="1:23" s="41" customFormat="1" ht="20.45" customHeight="1">
      <c r="A27" s="38" t="s">
        <v>116</v>
      </c>
      <c r="B27" s="149">
        <v>0</v>
      </c>
      <c r="C27" s="149">
        <v>1</v>
      </c>
      <c r="D27" s="149">
        <v>2</v>
      </c>
      <c r="E27" s="149">
        <v>2</v>
      </c>
      <c r="F27" s="149">
        <v>0.5</v>
      </c>
      <c r="G27" s="149">
        <v>1.5</v>
      </c>
      <c r="H27" s="149">
        <v>0</v>
      </c>
      <c r="I27" s="149">
        <v>0.5</v>
      </c>
      <c r="J27" s="149">
        <v>0</v>
      </c>
      <c r="K27" s="149">
        <v>2</v>
      </c>
      <c r="L27" s="149">
        <v>0</v>
      </c>
      <c r="M27" s="149">
        <v>1</v>
      </c>
      <c r="N27" s="149">
        <v>0</v>
      </c>
      <c r="O27" s="149">
        <v>1</v>
      </c>
      <c r="P27" s="149">
        <v>0.5</v>
      </c>
      <c r="Q27" s="149">
        <v>2</v>
      </c>
      <c r="R27" s="149">
        <v>2</v>
      </c>
      <c r="S27" s="149">
        <v>2</v>
      </c>
      <c r="T27" s="149">
        <v>0</v>
      </c>
      <c r="U27" s="149">
        <v>1</v>
      </c>
      <c r="W27" s="44">
        <f t="shared" si="0"/>
        <v>19</v>
      </c>
    </row>
    <row r="28" spans="1:23" s="41" customFormat="1" ht="20.45" customHeight="1">
      <c r="A28" s="38" t="s">
        <v>117</v>
      </c>
      <c r="B28" s="149">
        <v>0</v>
      </c>
      <c r="C28" s="149">
        <v>0</v>
      </c>
      <c r="D28" s="149">
        <v>0</v>
      </c>
      <c r="E28" s="149">
        <v>1.5</v>
      </c>
      <c r="F28" s="149">
        <v>0.5</v>
      </c>
      <c r="G28" s="149">
        <v>0.5</v>
      </c>
      <c r="H28" s="149">
        <v>0</v>
      </c>
      <c r="I28" s="149">
        <v>1</v>
      </c>
      <c r="J28" s="149">
        <v>2</v>
      </c>
      <c r="K28" s="149">
        <v>0.5</v>
      </c>
      <c r="L28" s="149">
        <v>0</v>
      </c>
      <c r="M28" s="149">
        <v>0.5</v>
      </c>
      <c r="N28" s="149">
        <v>0</v>
      </c>
      <c r="O28" s="149">
        <v>1</v>
      </c>
      <c r="P28" s="149">
        <v>3</v>
      </c>
      <c r="Q28" s="149">
        <v>2</v>
      </c>
      <c r="R28" s="149">
        <v>1</v>
      </c>
      <c r="S28" s="149">
        <v>1.5</v>
      </c>
      <c r="T28" s="149">
        <v>0</v>
      </c>
      <c r="U28" s="149">
        <v>0.5</v>
      </c>
      <c r="W28" s="44">
        <f t="shared" si="0"/>
        <v>15.5</v>
      </c>
    </row>
    <row r="29" spans="1:23" s="41" customFormat="1" ht="20.45" customHeight="1">
      <c r="A29" s="38" t="s">
        <v>118</v>
      </c>
      <c r="B29" s="149">
        <v>0.5</v>
      </c>
      <c r="C29" s="149">
        <v>0.5</v>
      </c>
      <c r="D29" s="149">
        <v>1</v>
      </c>
      <c r="E29" s="149">
        <v>0</v>
      </c>
      <c r="F29" s="149">
        <v>0</v>
      </c>
      <c r="G29" s="149">
        <v>0</v>
      </c>
      <c r="H29" s="149">
        <v>2</v>
      </c>
      <c r="I29" s="149">
        <v>2</v>
      </c>
      <c r="J29" s="149">
        <v>0</v>
      </c>
      <c r="K29" s="149">
        <v>0</v>
      </c>
      <c r="L29" s="149">
        <v>0</v>
      </c>
      <c r="M29" s="149">
        <v>0</v>
      </c>
      <c r="N29" s="149">
        <v>2</v>
      </c>
      <c r="O29" s="149">
        <v>1</v>
      </c>
      <c r="P29" s="149">
        <v>0</v>
      </c>
      <c r="Q29" s="149">
        <v>0</v>
      </c>
      <c r="R29" s="149">
        <v>1</v>
      </c>
      <c r="S29" s="149">
        <v>1.5</v>
      </c>
      <c r="T29" s="149">
        <v>0</v>
      </c>
      <c r="U29" s="149">
        <v>0</v>
      </c>
      <c r="W29" s="44">
        <f t="shared" si="0"/>
        <v>11.5</v>
      </c>
    </row>
    <row r="30" spans="1:23" s="41" customFormat="1" ht="20.45" customHeight="1">
      <c r="A30" s="38" t="s">
        <v>119</v>
      </c>
      <c r="B30" s="149">
        <v>0</v>
      </c>
      <c r="C30" s="149">
        <v>0</v>
      </c>
      <c r="D30" s="149">
        <v>2.5</v>
      </c>
      <c r="E30" s="149">
        <v>2</v>
      </c>
      <c r="F30" s="149">
        <v>0.5</v>
      </c>
      <c r="G30" s="149">
        <v>0</v>
      </c>
      <c r="H30" s="149">
        <v>0</v>
      </c>
      <c r="I30" s="149">
        <v>0.5</v>
      </c>
      <c r="J30" s="149">
        <v>0</v>
      </c>
      <c r="K30" s="149">
        <v>0</v>
      </c>
      <c r="L30" s="149">
        <v>0</v>
      </c>
      <c r="M30" s="149">
        <v>0</v>
      </c>
      <c r="N30" s="149">
        <v>1</v>
      </c>
      <c r="O30" s="149">
        <v>1.5</v>
      </c>
      <c r="P30" s="149">
        <v>0</v>
      </c>
      <c r="Q30" s="149">
        <v>1.5</v>
      </c>
      <c r="R30" s="149">
        <v>1</v>
      </c>
      <c r="S30" s="149">
        <v>2</v>
      </c>
      <c r="T30" s="149">
        <v>0</v>
      </c>
      <c r="U30" s="149">
        <v>0</v>
      </c>
      <c r="W30" s="44">
        <f t="shared" si="0"/>
        <v>12.5</v>
      </c>
    </row>
    <row r="31" spans="1:23" s="41" customFormat="1" ht="20.45" customHeight="1">
      <c r="A31" s="38" t="s">
        <v>120</v>
      </c>
      <c r="B31" s="149">
        <v>1</v>
      </c>
      <c r="C31" s="149">
        <v>2</v>
      </c>
      <c r="D31" s="149">
        <v>2.5</v>
      </c>
      <c r="E31" s="149">
        <v>0</v>
      </c>
      <c r="F31" s="149">
        <v>0</v>
      </c>
      <c r="G31" s="149">
        <v>0</v>
      </c>
      <c r="H31" s="149">
        <v>2</v>
      </c>
      <c r="I31" s="149">
        <v>3</v>
      </c>
      <c r="J31" s="149">
        <v>1</v>
      </c>
      <c r="K31" s="149">
        <v>4</v>
      </c>
      <c r="L31" s="149">
        <v>0</v>
      </c>
      <c r="M31" s="149">
        <v>0</v>
      </c>
      <c r="N31" s="149">
        <v>1.5</v>
      </c>
      <c r="O31" s="149">
        <v>2</v>
      </c>
      <c r="P31" s="149">
        <v>0.5</v>
      </c>
      <c r="Q31" s="149">
        <v>0</v>
      </c>
      <c r="R31" s="149">
        <v>1</v>
      </c>
      <c r="S31" s="149">
        <v>1.5</v>
      </c>
      <c r="T31" s="149">
        <v>0</v>
      </c>
      <c r="U31" s="149">
        <v>0.5</v>
      </c>
      <c r="W31" s="44">
        <f t="shared" si="0"/>
        <v>22.5</v>
      </c>
    </row>
    <row r="32" spans="1:23" s="41" customFormat="1" ht="20.45" customHeight="1">
      <c r="A32" s="39" t="s">
        <v>121</v>
      </c>
      <c r="B32" s="149">
        <v>0</v>
      </c>
      <c r="C32" s="149">
        <v>0</v>
      </c>
      <c r="D32" s="149">
        <v>2.5</v>
      </c>
      <c r="E32" s="149">
        <v>2</v>
      </c>
      <c r="F32" s="149">
        <v>1</v>
      </c>
      <c r="G32" s="149">
        <v>2</v>
      </c>
      <c r="H32" s="149">
        <v>0</v>
      </c>
      <c r="I32" s="149">
        <v>0.5</v>
      </c>
      <c r="J32" s="149">
        <v>0</v>
      </c>
      <c r="K32" s="149">
        <v>0</v>
      </c>
      <c r="L32" s="149">
        <v>0</v>
      </c>
      <c r="M32" s="149">
        <v>0</v>
      </c>
      <c r="N32" s="149">
        <v>1</v>
      </c>
      <c r="O32" s="149">
        <v>0</v>
      </c>
      <c r="P32" s="149">
        <v>0</v>
      </c>
      <c r="Q32" s="149">
        <v>1.5</v>
      </c>
      <c r="R32" s="149">
        <v>1</v>
      </c>
      <c r="S32" s="149">
        <v>2</v>
      </c>
      <c r="T32" s="149">
        <v>0</v>
      </c>
      <c r="U32" s="149">
        <v>0</v>
      </c>
      <c r="W32" s="44">
        <f t="shared" si="0"/>
        <v>13.5</v>
      </c>
    </row>
    <row r="33" spans="1:23" s="41" customFormat="1" ht="20.45" customHeight="1">
      <c r="A33" s="39" t="s">
        <v>122</v>
      </c>
      <c r="B33" s="149">
        <v>1</v>
      </c>
      <c r="C33" s="149">
        <v>1</v>
      </c>
      <c r="D33" s="149">
        <v>4</v>
      </c>
      <c r="E33" s="149">
        <v>3</v>
      </c>
      <c r="F33" s="149">
        <v>1</v>
      </c>
      <c r="G33" s="149">
        <v>2.5</v>
      </c>
      <c r="H33" s="149">
        <v>0</v>
      </c>
      <c r="I33" s="149">
        <v>0</v>
      </c>
      <c r="J33" s="149">
        <v>0</v>
      </c>
      <c r="K33" s="149">
        <v>0</v>
      </c>
      <c r="L33" s="149">
        <v>0</v>
      </c>
      <c r="M33" s="149">
        <v>0</v>
      </c>
      <c r="N33" s="149">
        <v>1</v>
      </c>
      <c r="O33" s="149">
        <v>0</v>
      </c>
      <c r="P33" s="149">
        <v>0</v>
      </c>
      <c r="Q33" s="149">
        <v>1</v>
      </c>
      <c r="R33" s="149">
        <v>1</v>
      </c>
      <c r="S33" s="149">
        <v>1</v>
      </c>
      <c r="T33" s="149">
        <v>0</v>
      </c>
      <c r="U33" s="149">
        <v>0</v>
      </c>
      <c r="W33" s="44">
        <f t="shared" si="0"/>
        <v>16.5</v>
      </c>
    </row>
    <row r="34" spans="1:23" s="41" customFormat="1" ht="20.45" customHeight="1">
      <c r="A34" s="39" t="s">
        <v>123</v>
      </c>
      <c r="B34" s="149">
        <v>0</v>
      </c>
      <c r="C34" s="149">
        <v>1</v>
      </c>
      <c r="D34" s="149">
        <v>3</v>
      </c>
      <c r="E34" s="149">
        <v>3</v>
      </c>
      <c r="F34" s="149">
        <v>0</v>
      </c>
      <c r="G34" s="149">
        <v>3</v>
      </c>
      <c r="H34" s="149">
        <v>0</v>
      </c>
      <c r="I34" s="149">
        <v>0</v>
      </c>
      <c r="J34" s="149">
        <v>0</v>
      </c>
      <c r="K34" s="149">
        <v>0</v>
      </c>
      <c r="L34" s="149">
        <v>0</v>
      </c>
      <c r="M34" s="149">
        <v>0</v>
      </c>
      <c r="N34" s="149">
        <v>0</v>
      </c>
      <c r="O34" s="149">
        <v>1</v>
      </c>
      <c r="P34" s="149">
        <v>1.5</v>
      </c>
      <c r="Q34" s="149">
        <v>1</v>
      </c>
      <c r="R34" s="149">
        <v>1</v>
      </c>
      <c r="S34" s="149">
        <v>1</v>
      </c>
      <c r="T34" s="149">
        <v>0.5</v>
      </c>
      <c r="U34" s="149">
        <v>0</v>
      </c>
      <c r="W34" s="44">
        <f t="shared" si="0"/>
        <v>16</v>
      </c>
    </row>
    <row r="35" spans="1:23" s="41" customFormat="1" ht="20.45" customHeight="1">
      <c r="A35" s="39" t="s">
        <v>124</v>
      </c>
      <c r="B35" s="149">
        <v>0</v>
      </c>
      <c r="C35" s="149">
        <v>0</v>
      </c>
      <c r="D35" s="149">
        <v>3</v>
      </c>
      <c r="E35" s="149">
        <v>1</v>
      </c>
      <c r="F35" s="149">
        <v>2</v>
      </c>
      <c r="G35" s="149">
        <v>0</v>
      </c>
      <c r="H35" s="149">
        <v>0</v>
      </c>
      <c r="I35" s="149">
        <v>0</v>
      </c>
      <c r="J35" s="149">
        <v>0</v>
      </c>
      <c r="K35" s="149">
        <v>0</v>
      </c>
      <c r="L35" s="149">
        <v>0</v>
      </c>
      <c r="M35" s="149">
        <v>0</v>
      </c>
      <c r="N35" s="149">
        <v>0</v>
      </c>
      <c r="O35" s="149">
        <v>0</v>
      </c>
      <c r="P35" s="149">
        <v>0</v>
      </c>
      <c r="Q35" s="149">
        <v>1.5</v>
      </c>
      <c r="R35" s="149">
        <v>1</v>
      </c>
      <c r="S35" s="149">
        <v>2</v>
      </c>
      <c r="T35" s="149">
        <v>0</v>
      </c>
      <c r="U35" s="149">
        <v>0</v>
      </c>
      <c r="W35" s="44">
        <f t="shared" si="0"/>
        <v>10.5</v>
      </c>
    </row>
    <row r="36" spans="1:23" s="41" customFormat="1" ht="20.45" customHeight="1">
      <c r="A36" s="39" t="s">
        <v>125</v>
      </c>
      <c r="B36" s="149">
        <v>0</v>
      </c>
      <c r="C36" s="149">
        <v>0</v>
      </c>
      <c r="D36" s="149">
        <v>4</v>
      </c>
      <c r="E36" s="149">
        <v>2</v>
      </c>
      <c r="F36" s="149">
        <v>2</v>
      </c>
      <c r="G36" s="149">
        <v>0</v>
      </c>
      <c r="H36" s="149">
        <v>0</v>
      </c>
      <c r="I36" s="149">
        <v>0</v>
      </c>
      <c r="J36" s="149">
        <v>0</v>
      </c>
      <c r="K36" s="149">
        <v>0</v>
      </c>
      <c r="L36" s="149">
        <v>0</v>
      </c>
      <c r="M36" s="149">
        <v>0</v>
      </c>
      <c r="N36" s="149">
        <v>0</v>
      </c>
      <c r="O36" s="149">
        <v>0</v>
      </c>
      <c r="P36" s="149">
        <v>0</v>
      </c>
      <c r="Q36" s="149">
        <v>1.5</v>
      </c>
      <c r="R36" s="149">
        <v>1</v>
      </c>
      <c r="S36" s="149">
        <v>2</v>
      </c>
      <c r="T36" s="149">
        <v>2</v>
      </c>
      <c r="U36" s="149">
        <v>0</v>
      </c>
      <c r="W36" s="44">
        <f t="shared" si="0"/>
        <v>14.5</v>
      </c>
    </row>
    <row r="37" spans="1:23" s="41" customFormat="1" ht="20.45" customHeight="1">
      <c r="A37" s="39" t="s">
        <v>126</v>
      </c>
      <c r="B37" s="149">
        <v>0</v>
      </c>
      <c r="C37" s="149">
        <v>1</v>
      </c>
      <c r="D37" s="149">
        <v>0.5</v>
      </c>
      <c r="E37" s="149">
        <v>0</v>
      </c>
      <c r="F37" s="149">
        <v>3</v>
      </c>
      <c r="G37" s="149">
        <v>0.5</v>
      </c>
      <c r="H37" s="149">
        <v>0</v>
      </c>
      <c r="I37" s="149">
        <v>0</v>
      </c>
      <c r="J37" s="149">
        <v>0</v>
      </c>
      <c r="K37" s="149">
        <v>1</v>
      </c>
      <c r="L37" s="149">
        <v>0</v>
      </c>
      <c r="M37" s="149">
        <v>0</v>
      </c>
      <c r="N37" s="149">
        <v>0</v>
      </c>
      <c r="O37" s="149">
        <v>0</v>
      </c>
      <c r="P37" s="149">
        <v>1.5</v>
      </c>
      <c r="Q37" s="149">
        <v>2.5</v>
      </c>
      <c r="R37" s="149">
        <v>1.5</v>
      </c>
      <c r="S37" s="149">
        <v>1</v>
      </c>
      <c r="T37" s="149">
        <v>2</v>
      </c>
      <c r="U37" s="149">
        <v>0</v>
      </c>
      <c r="W37" s="44">
        <f t="shared" si="0"/>
        <v>14.5</v>
      </c>
    </row>
    <row r="38" spans="1:23" s="41" customFormat="1" ht="20.45" customHeight="1">
      <c r="A38" s="38" t="s">
        <v>127</v>
      </c>
      <c r="B38" s="149">
        <v>1</v>
      </c>
      <c r="C38" s="149">
        <v>1.5</v>
      </c>
      <c r="D38" s="149">
        <v>2</v>
      </c>
      <c r="E38" s="149">
        <v>2</v>
      </c>
      <c r="F38" s="149">
        <v>2.5</v>
      </c>
      <c r="G38" s="149">
        <v>3</v>
      </c>
      <c r="H38" s="149">
        <v>1</v>
      </c>
      <c r="I38" s="149">
        <v>2</v>
      </c>
      <c r="J38" s="149">
        <v>1.5</v>
      </c>
      <c r="K38" s="149">
        <v>1</v>
      </c>
      <c r="L38" s="149">
        <v>1</v>
      </c>
      <c r="M38" s="149">
        <v>1</v>
      </c>
      <c r="N38" s="149">
        <v>2</v>
      </c>
      <c r="O38" s="149">
        <v>1</v>
      </c>
      <c r="P38" s="149">
        <v>1</v>
      </c>
      <c r="Q38" s="149">
        <v>1</v>
      </c>
      <c r="R38" s="149">
        <v>1.5</v>
      </c>
      <c r="S38" s="149">
        <v>1</v>
      </c>
      <c r="T38" s="149">
        <v>2.5</v>
      </c>
      <c r="U38" s="149">
        <v>1</v>
      </c>
      <c r="W38" s="44">
        <f t="shared" si="0"/>
        <v>30.5</v>
      </c>
    </row>
    <row r="39" spans="1:23" s="41" customFormat="1" ht="20.45" customHeight="1">
      <c r="A39" s="38" t="s">
        <v>128</v>
      </c>
      <c r="B39" s="149">
        <v>0</v>
      </c>
      <c r="C39" s="149">
        <v>0</v>
      </c>
      <c r="D39" s="149">
        <v>2</v>
      </c>
      <c r="E39" s="149">
        <v>2</v>
      </c>
      <c r="F39" s="149">
        <v>2.5</v>
      </c>
      <c r="G39" s="149">
        <v>2</v>
      </c>
      <c r="H39" s="149">
        <v>2</v>
      </c>
      <c r="I39" s="149">
        <v>0</v>
      </c>
      <c r="J39" s="149">
        <v>0.5</v>
      </c>
      <c r="K39" s="149">
        <v>2</v>
      </c>
      <c r="L39" s="149">
        <v>1</v>
      </c>
      <c r="M39" s="149">
        <v>1</v>
      </c>
      <c r="N39" s="149">
        <v>1.5</v>
      </c>
      <c r="O39" s="149">
        <v>1</v>
      </c>
      <c r="P39" s="149">
        <v>0</v>
      </c>
      <c r="Q39" s="149">
        <v>2</v>
      </c>
      <c r="R39" s="149">
        <v>1</v>
      </c>
      <c r="S39" s="149">
        <v>1</v>
      </c>
      <c r="T39" s="149">
        <v>2.5</v>
      </c>
      <c r="U39" s="149">
        <v>0</v>
      </c>
      <c r="W39" s="44">
        <f t="shared" si="0"/>
        <v>24</v>
      </c>
    </row>
    <row r="40" spans="1:23" s="41" customFormat="1" ht="20.45" customHeight="1">
      <c r="A40" s="38" t="s">
        <v>129</v>
      </c>
      <c r="B40" s="149">
        <v>0</v>
      </c>
      <c r="C40" s="149">
        <v>0</v>
      </c>
      <c r="D40" s="149">
        <v>2</v>
      </c>
      <c r="E40" s="149">
        <v>2</v>
      </c>
      <c r="F40" s="149">
        <v>4</v>
      </c>
      <c r="G40" s="149">
        <v>0.5</v>
      </c>
      <c r="H40" s="149">
        <v>0</v>
      </c>
      <c r="I40" s="149">
        <v>0</v>
      </c>
      <c r="J40" s="149">
        <v>0</v>
      </c>
      <c r="K40" s="149">
        <v>0</v>
      </c>
      <c r="L40" s="149">
        <v>0</v>
      </c>
      <c r="M40" s="149">
        <v>0</v>
      </c>
      <c r="N40" s="149">
        <v>0</v>
      </c>
      <c r="O40" s="149">
        <v>0</v>
      </c>
      <c r="P40" s="149">
        <v>0</v>
      </c>
      <c r="Q40" s="149">
        <v>2</v>
      </c>
      <c r="R40" s="149">
        <v>0</v>
      </c>
      <c r="S40" s="149">
        <v>0</v>
      </c>
      <c r="T40" s="149">
        <v>4</v>
      </c>
      <c r="U40" s="149">
        <v>0</v>
      </c>
      <c r="W40" s="44">
        <f t="shared" si="0"/>
        <v>14.5</v>
      </c>
    </row>
    <row r="41" spans="1:23" s="41" customFormat="1" ht="20.45" customHeight="1">
      <c r="A41" s="38" t="s">
        <v>130</v>
      </c>
      <c r="B41" s="149">
        <v>1</v>
      </c>
      <c r="C41" s="149">
        <v>1</v>
      </c>
      <c r="D41" s="149">
        <v>3</v>
      </c>
      <c r="E41" s="149">
        <v>1.5</v>
      </c>
      <c r="F41" s="149">
        <v>3</v>
      </c>
      <c r="G41" s="149">
        <v>4</v>
      </c>
      <c r="H41" s="149">
        <v>2</v>
      </c>
      <c r="I41" s="149">
        <v>1</v>
      </c>
      <c r="J41" s="149">
        <v>1</v>
      </c>
      <c r="K41" s="149">
        <v>0.5</v>
      </c>
      <c r="L41" s="149">
        <v>1</v>
      </c>
      <c r="M41" s="149">
        <v>1</v>
      </c>
      <c r="N41" s="149">
        <v>1.5</v>
      </c>
      <c r="O41" s="149">
        <v>0</v>
      </c>
      <c r="P41" s="149">
        <v>1</v>
      </c>
      <c r="Q41" s="149">
        <v>1</v>
      </c>
      <c r="R41" s="149">
        <v>1</v>
      </c>
      <c r="S41" s="149">
        <v>1</v>
      </c>
      <c r="T41" s="149">
        <v>2.5</v>
      </c>
      <c r="U41" s="149">
        <v>1</v>
      </c>
      <c r="W41" s="44">
        <f t="shared" si="0"/>
        <v>29</v>
      </c>
    </row>
    <row r="43" spans="1:23">
      <c r="P43"/>
    </row>
    <row r="44" spans="1:23">
      <c r="P44"/>
    </row>
    <row r="45" spans="1:23">
      <c r="P45"/>
    </row>
    <row r="46" spans="1:23">
      <c r="P46"/>
    </row>
    <row r="47" spans="1:23">
      <c r="P47"/>
    </row>
    <row r="48" spans="1:23">
      <c r="P48"/>
    </row>
    <row r="49" spans="16:16">
      <c r="P49"/>
    </row>
    <row r="50" spans="16:16">
      <c r="P50"/>
    </row>
  </sheetData>
  <sheetProtection algorithmName="SHA-512" hashValue="DOWKDNwCHyCt0QKtW8tYFklrw2WpKFXyHRaw+I0/x9tBd/RlXy9DRB6H+42WMnif+oN5XSLeZaiG7vfgkXIZzw==" saltValue="ftHjJ0hn29bZyo1Ce7oB/w==" spinCount="100000" sheet="1" objects="1" scenarios="1" selectLockedCells="1" selectUnlockedCells="1"/>
  <autoFilter ref="A1:W41" xr:uid="{0B322626-26AE-44DB-900C-74E51DB74767}"/>
  <conditionalFormatting sqref="B2:U41">
    <cfRule type="cellIs" dxfId="22" priority="1" stopIfTrue="1" operator="greaterThanOrEqual">
      <formula>3</formula>
    </cfRule>
    <cfRule type="cellIs" dxfId="21" priority="2" stopIfTrue="1" operator="greaterThanOrEqual">
      <formula>2</formula>
    </cfRule>
    <cfRule type="cellIs" dxfId="20" priority="3" operator="greaterThanOrEqual">
      <formula>1</formula>
    </cfRule>
  </conditionalFormatting>
  <pageMargins left="0.25" right="0.25" top="0.75" bottom="0.75" header="0.3" footer="0.3"/>
  <pageSetup paperSize="5" scale="34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58F4-5661-4991-8E36-427CDD731BAC}">
  <sheetPr>
    <tabColor theme="9" tint="-0.499984740745262"/>
    <pageSetUpPr fitToPage="1"/>
  </sheetPr>
  <dimension ref="A1:U69"/>
  <sheetViews>
    <sheetView showGridLines="0" zoomScale="85" zoomScaleNormal="85" workbookViewId="0">
      <pane ySplit="2" topLeftCell="A3" activePane="bottomLeft" state="frozen"/>
      <selection pane="bottomLeft" activeCell="B9" sqref="B9"/>
      <selection activeCell="A9" sqref="A9:B9"/>
    </sheetView>
  </sheetViews>
  <sheetFormatPr defaultRowHeight="14.45"/>
  <cols>
    <col min="1" max="1" width="12.7109375" customWidth="1"/>
    <col min="2" max="2" width="8.42578125" customWidth="1"/>
    <col min="3" max="3" width="11.140625" customWidth="1"/>
    <col min="4" max="4" width="12.140625" customWidth="1"/>
    <col min="5" max="5" width="21.5703125" customWidth="1"/>
    <col min="6" max="6" width="24.7109375" customWidth="1"/>
    <col min="7" max="7" width="19.140625" customWidth="1"/>
    <col min="8" max="8" width="17.5703125" customWidth="1"/>
  </cols>
  <sheetData>
    <row r="1" spans="1:14" s="19" customFormat="1" ht="36" customHeight="1">
      <c r="A1" s="204" t="s">
        <v>329</v>
      </c>
      <c r="B1" s="205"/>
      <c r="C1" s="205"/>
      <c r="D1" s="205"/>
      <c r="E1" s="205"/>
      <c r="F1" s="205"/>
      <c r="G1" s="204" t="s">
        <v>329</v>
      </c>
      <c r="H1" s="205"/>
      <c r="I1" s="205"/>
      <c r="J1" s="205"/>
      <c r="K1" s="205"/>
      <c r="L1" s="205"/>
      <c r="M1" s="205"/>
      <c r="N1" s="205"/>
    </row>
    <row r="2" spans="1:14" ht="11.1" customHeight="1"/>
    <row r="3" spans="1:14" s="19" customFormat="1" ht="21" customHeight="1">
      <c r="A3" s="202" t="s">
        <v>330</v>
      </c>
      <c r="B3" s="202"/>
      <c r="C3" s="202"/>
      <c r="D3" s="202"/>
      <c r="E3" s="202"/>
      <c r="F3" s="202"/>
      <c r="G3" s="202" t="s">
        <v>330</v>
      </c>
      <c r="H3" s="202"/>
      <c r="I3" s="202"/>
      <c r="J3" s="202"/>
      <c r="K3" s="202"/>
      <c r="L3" s="202"/>
      <c r="M3" s="202"/>
      <c r="N3" s="202"/>
    </row>
    <row r="4" spans="1:14" ht="6.95" customHeight="1"/>
    <row r="5" spans="1:14" s="32" customFormat="1" ht="19.5" customHeight="1">
      <c r="F5"/>
      <c r="G5"/>
      <c r="H5"/>
    </row>
    <row r="6" spans="1:14" s="62" customFormat="1" ht="21" customHeight="1">
      <c r="A6" s="118" t="s">
        <v>71</v>
      </c>
      <c r="B6" s="232" t="s">
        <v>331</v>
      </c>
      <c r="C6" s="232"/>
      <c r="D6" s="122" t="s">
        <v>73</v>
      </c>
      <c r="E6" s="119"/>
      <c r="H6" s="236" t="s">
        <v>332</v>
      </c>
      <c r="I6" s="236"/>
      <c r="J6" s="236"/>
      <c r="K6" s="120"/>
      <c r="L6" s="120"/>
      <c r="M6" s="120"/>
      <c r="N6" s="120"/>
    </row>
    <row r="7" spans="1:14" ht="21" customHeight="1">
      <c r="A7" s="125" t="s">
        <v>333</v>
      </c>
      <c r="B7" s="233">
        <v>0.1</v>
      </c>
      <c r="C7" s="234"/>
      <c r="D7" s="126">
        <v>0.33</v>
      </c>
      <c r="E7" s="25"/>
    </row>
    <row r="8" spans="1:14" ht="21" customHeight="1">
      <c r="A8" s="125" t="s">
        <v>334</v>
      </c>
      <c r="B8" s="235">
        <v>0.9</v>
      </c>
      <c r="C8" s="234"/>
      <c r="D8" s="127">
        <v>0.67</v>
      </c>
      <c r="E8" s="25"/>
    </row>
    <row r="9" spans="1:14" s="33" customFormat="1" ht="15.6">
      <c r="A9"/>
      <c r="B9"/>
      <c r="C9"/>
      <c r="D9"/>
      <c r="E9"/>
      <c r="F9" s="26"/>
      <c r="G9" s="26"/>
      <c r="H9"/>
      <c r="I9"/>
      <c r="J9"/>
      <c r="K9"/>
      <c r="L9"/>
      <c r="M9"/>
      <c r="N9"/>
    </row>
    <row r="10" spans="1:14" s="33" customFormat="1" ht="17.100000000000001" customHeight="1">
      <c r="A10" s="123" t="s">
        <v>78</v>
      </c>
      <c r="B10" s="86"/>
    </row>
    <row r="11" spans="1:14" s="33" customFormat="1" ht="17.100000000000001" customHeight="1">
      <c r="A11" s="123" t="s">
        <v>79</v>
      </c>
      <c r="B11" s="86"/>
    </row>
    <row r="12" spans="1:14" ht="17.100000000000001" customHeight="1">
      <c r="A12" s="123" t="s">
        <v>80</v>
      </c>
      <c r="B12" s="86">
        <v>1</v>
      </c>
      <c r="C12" s="33"/>
      <c r="D12" s="33"/>
      <c r="E12" s="33"/>
      <c r="H12" s="33"/>
      <c r="I12" s="33"/>
      <c r="J12" s="33"/>
      <c r="K12" s="33"/>
      <c r="L12" s="33"/>
      <c r="M12" s="33"/>
      <c r="N12" s="33"/>
    </row>
    <row r="13" spans="1:14" ht="17.100000000000001" customHeight="1"/>
    <row r="14" spans="1:14" ht="24.6" customHeight="1"/>
    <row r="15" spans="1:14" ht="24.6" customHeight="1"/>
    <row r="16" spans="1:14" ht="24.6" customHeight="1"/>
    <row r="17" spans="1:21" ht="24.6" customHeight="1"/>
    <row r="18" spans="1:21" ht="24.6" customHeight="1"/>
    <row r="19" spans="1:21" ht="24.6" customHeight="1"/>
    <row r="20" spans="1:21" ht="24.6" customHeight="1"/>
    <row r="21" spans="1:21" ht="24.6" customHeight="1"/>
    <row r="22" spans="1:21" ht="24.6" customHeight="1"/>
    <row r="23" spans="1:21" ht="137.44999999999999" customHeight="1"/>
    <row r="24" spans="1:21" ht="9" customHeight="1"/>
    <row r="25" spans="1:21" ht="9" customHeight="1"/>
    <row r="26" spans="1:21" s="32" customFormat="1" ht="24.6" customHeight="1">
      <c r="A26" s="207" t="s">
        <v>81</v>
      </c>
      <c r="B26" s="207"/>
      <c r="C26" s="207"/>
      <c r="D26" s="207"/>
      <c r="E26" s="207"/>
      <c r="F26" s="207"/>
      <c r="G26" s="207" t="s">
        <v>81</v>
      </c>
      <c r="H26" s="207"/>
      <c r="I26" s="207"/>
      <c r="J26" s="207"/>
      <c r="K26" s="207"/>
      <c r="L26" s="207"/>
      <c r="M26" s="207"/>
      <c r="N26" s="207"/>
      <c r="O26"/>
      <c r="P26"/>
      <c r="Q26"/>
      <c r="R26"/>
      <c r="S26"/>
      <c r="T26"/>
      <c r="U26"/>
    </row>
    <row r="27" spans="1:21" ht="8.4499999999999993" customHeight="1"/>
    <row r="28" spans="1:21" s="34" customFormat="1" ht="33.6" customHeight="1">
      <c r="A28" s="224" t="s">
        <v>147</v>
      </c>
      <c r="B28" s="225"/>
      <c r="C28" s="225"/>
      <c r="D28" s="225"/>
      <c r="E28"/>
      <c r="F28"/>
      <c r="G28"/>
      <c r="H28"/>
    </row>
    <row r="29" spans="1:21" s="57" customFormat="1" ht="41.45">
      <c r="A29" s="93" t="s">
        <v>83</v>
      </c>
      <c r="B29" s="94" t="s">
        <v>84</v>
      </c>
      <c r="C29" s="94" t="s">
        <v>85</v>
      </c>
      <c r="D29" s="94" t="s">
        <v>86</v>
      </c>
      <c r="E29"/>
      <c r="F29"/>
      <c r="G29"/>
      <c r="H29"/>
      <c r="I29" s="34"/>
      <c r="J29" s="34"/>
      <c r="K29" s="34"/>
      <c r="L29" s="34"/>
      <c r="M29" s="34"/>
      <c r="N29" s="34"/>
    </row>
    <row r="30" spans="1:21">
      <c r="A30" s="27" t="s">
        <v>91</v>
      </c>
      <c r="B30" s="128">
        <f t="array" ref="B30:B69">MMULT(DF5map!B2:C41,'DF5'!B7:B8)</f>
        <v>1.2000000000000002</v>
      </c>
      <c r="C30" s="128">
        <f t="array" ref="C30:C69">MMULT(DF5map!B2:C41,'DF5'!D7:D8)</f>
        <v>1.6600000000000001</v>
      </c>
      <c r="D30" s="129">
        <f t="shared" ref="D30:D69" si="0">IFERROR(MROUND((100*B30/C30),5)-100,0)</f>
        <v>-30</v>
      </c>
    </row>
    <row r="31" spans="1:21">
      <c r="A31" s="27" t="s">
        <v>92</v>
      </c>
      <c r="B31" s="128">
        <v>1</v>
      </c>
      <c r="C31" s="128">
        <v>1</v>
      </c>
      <c r="D31" s="129">
        <f t="shared" si="0"/>
        <v>0</v>
      </c>
      <c r="J31" s="1"/>
    </row>
    <row r="32" spans="1:21">
      <c r="A32" s="27" t="s">
        <v>93</v>
      </c>
      <c r="B32" s="128">
        <v>1.3</v>
      </c>
      <c r="C32" s="128">
        <v>1.9900000000000002</v>
      </c>
      <c r="D32" s="129">
        <f t="shared" si="0"/>
        <v>-35</v>
      </c>
    </row>
    <row r="33" spans="1:4">
      <c r="A33" s="27" t="s">
        <v>94</v>
      </c>
      <c r="B33" s="128">
        <v>1</v>
      </c>
      <c r="C33" s="128">
        <v>1</v>
      </c>
      <c r="D33" s="129">
        <f t="shared" si="0"/>
        <v>0</v>
      </c>
    </row>
    <row r="34" spans="1:4">
      <c r="A34" s="27" t="s">
        <v>95</v>
      </c>
      <c r="B34" s="128">
        <v>1.1000000000000001</v>
      </c>
      <c r="C34" s="128">
        <v>1.33</v>
      </c>
      <c r="D34" s="129">
        <f t="shared" si="0"/>
        <v>-15</v>
      </c>
    </row>
    <row r="35" spans="1:4">
      <c r="A35" s="28" t="s">
        <v>96</v>
      </c>
      <c r="B35" s="128">
        <v>1.2000000000000002</v>
      </c>
      <c r="C35" s="128">
        <v>1.6600000000000001</v>
      </c>
      <c r="D35" s="129">
        <f t="shared" si="0"/>
        <v>-30</v>
      </c>
    </row>
    <row r="36" spans="1:4">
      <c r="A36" s="28" t="s">
        <v>97</v>
      </c>
      <c r="B36" s="128">
        <v>1</v>
      </c>
      <c r="C36" s="128">
        <v>1</v>
      </c>
      <c r="D36" s="129">
        <f t="shared" si="0"/>
        <v>0</v>
      </c>
    </row>
    <row r="37" spans="1:4">
      <c r="A37" s="28" t="s">
        <v>98</v>
      </c>
      <c r="B37" s="128">
        <v>1.2000000000000002</v>
      </c>
      <c r="C37" s="128">
        <v>1.6600000000000001</v>
      </c>
      <c r="D37" s="129">
        <f t="shared" si="0"/>
        <v>-30</v>
      </c>
    </row>
    <row r="38" spans="1:4">
      <c r="A38" s="28" t="s">
        <v>99</v>
      </c>
      <c r="B38" s="128">
        <v>1</v>
      </c>
      <c r="C38" s="128">
        <v>1</v>
      </c>
      <c r="D38" s="129">
        <f t="shared" si="0"/>
        <v>0</v>
      </c>
    </row>
    <row r="39" spans="1:4">
      <c r="A39" s="28" t="s">
        <v>100</v>
      </c>
      <c r="B39" s="128">
        <v>1</v>
      </c>
      <c r="C39" s="128">
        <v>1</v>
      </c>
      <c r="D39" s="129">
        <f t="shared" si="0"/>
        <v>0</v>
      </c>
    </row>
    <row r="40" spans="1:4">
      <c r="A40" s="28" t="s">
        <v>101</v>
      </c>
      <c r="B40" s="128">
        <v>1</v>
      </c>
      <c r="C40" s="128">
        <v>1</v>
      </c>
      <c r="D40" s="129">
        <f t="shared" si="0"/>
        <v>0</v>
      </c>
    </row>
    <row r="41" spans="1:4">
      <c r="A41" s="28" t="s">
        <v>102</v>
      </c>
      <c r="B41" s="128">
        <v>1.1000000000000001</v>
      </c>
      <c r="C41" s="128">
        <v>1.33</v>
      </c>
      <c r="D41" s="129">
        <f t="shared" si="0"/>
        <v>-15</v>
      </c>
    </row>
    <row r="42" spans="1:4">
      <c r="A42" s="28" t="s">
        <v>103</v>
      </c>
      <c r="B42" s="128">
        <v>1</v>
      </c>
      <c r="C42" s="128">
        <v>1</v>
      </c>
      <c r="D42" s="129">
        <f t="shared" si="0"/>
        <v>0</v>
      </c>
    </row>
    <row r="43" spans="1:4">
      <c r="A43" s="28" t="s">
        <v>104</v>
      </c>
      <c r="B43" s="128">
        <v>1.1000000000000001</v>
      </c>
      <c r="C43" s="128">
        <v>1.33</v>
      </c>
      <c r="D43" s="129">
        <f t="shared" si="0"/>
        <v>-15</v>
      </c>
    </row>
    <row r="44" spans="1:4">
      <c r="A44" s="28" t="s">
        <v>105</v>
      </c>
      <c r="B44" s="128">
        <v>1.2000000000000002</v>
      </c>
      <c r="C44" s="128">
        <v>1.6600000000000001</v>
      </c>
      <c r="D44" s="129">
        <f t="shared" si="0"/>
        <v>-30</v>
      </c>
    </row>
    <row r="45" spans="1:4">
      <c r="A45" s="28" t="s">
        <v>106</v>
      </c>
      <c r="B45" s="128">
        <v>1.1000000000000001</v>
      </c>
      <c r="C45" s="128">
        <v>1.33</v>
      </c>
      <c r="D45" s="129">
        <f t="shared" si="0"/>
        <v>-15</v>
      </c>
    </row>
    <row r="46" spans="1:4">
      <c r="A46" s="28" t="s">
        <v>107</v>
      </c>
      <c r="B46" s="128">
        <v>1.3</v>
      </c>
      <c r="C46" s="128">
        <v>1.9900000000000002</v>
      </c>
      <c r="D46" s="129">
        <f t="shared" si="0"/>
        <v>-35</v>
      </c>
    </row>
    <row r="47" spans="1:4">
      <c r="A47" s="28" t="s">
        <v>108</v>
      </c>
      <c r="B47" s="128">
        <v>1.3</v>
      </c>
      <c r="C47" s="128">
        <v>1.9900000000000002</v>
      </c>
      <c r="D47" s="129">
        <f t="shared" si="0"/>
        <v>-35</v>
      </c>
    </row>
    <row r="48" spans="1:4">
      <c r="A48" s="28" t="s">
        <v>109</v>
      </c>
      <c r="B48" s="128">
        <v>1.2000000000000002</v>
      </c>
      <c r="C48" s="128">
        <v>1.6600000000000001</v>
      </c>
      <c r="D48" s="129">
        <f t="shared" si="0"/>
        <v>-30</v>
      </c>
    </row>
    <row r="49" spans="1:4">
      <c r="A49" s="27" t="s">
        <v>110</v>
      </c>
      <c r="B49" s="128">
        <v>1</v>
      </c>
      <c r="C49" s="128">
        <v>1</v>
      </c>
      <c r="D49" s="129">
        <f t="shared" si="0"/>
        <v>0</v>
      </c>
    </row>
    <row r="50" spans="1:4">
      <c r="A50" s="27" t="s">
        <v>111</v>
      </c>
      <c r="B50" s="128">
        <v>1</v>
      </c>
      <c r="C50" s="128">
        <v>1</v>
      </c>
      <c r="D50" s="129">
        <f t="shared" si="0"/>
        <v>0</v>
      </c>
    </row>
    <row r="51" spans="1:4">
      <c r="A51" s="27" t="s">
        <v>112</v>
      </c>
      <c r="B51" s="128">
        <v>1</v>
      </c>
      <c r="C51" s="128">
        <v>1</v>
      </c>
      <c r="D51" s="129">
        <f t="shared" si="0"/>
        <v>0</v>
      </c>
    </row>
    <row r="52" spans="1:4">
      <c r="A52" s="27" t="s">
        <v>113</v>
      </c>
      <c r="B52" s="128">
        <v>1.1000000000000001</v>
      </c>
      <c r="C52" s="128">
        <v>1.33</v>
      </c>
      <c r="D52" s="129">
        <f t="shared" si="0"/>
        <v>-15</v>
      </c>
    </row>
    <row r="53" spans="1:4">
      <c r="A53" s="27" t="s">
        <v>114</v>
      </c>
      <c r="B53" s="128">
        <v>1</v>
      </c>
      <c r="C53" s="128">
        <v>1</v>
      </c>
      <c r="D53" s="129">
        <f t="shared" si="0"/>
        <v>0</v>
      </c>
    </row>
    <row r="54" spans="1:4">
      <c r="A54" s="27" t="s">
        <v>115</v>
      </c>
      <c r="B54" s="128">
        <v>1.2000000000000002</v>
      </c>
      <c r="C54" s="128">
        <v>1.6600000000000001</v>
      </c>
      <c r="D54" s="129">
        <f t="shared" si="0"/>
        <v>-30</v>
      </c>
    </row>
    <row r="55" spans="1:4">
      <c r="A55" s="27" t="s">
        <v>116</v>
      </c>
      <c r="B55" s="128">
        <v>1</v>
      </c>
      <c r="C55" s="128">
        <v>1</v>
      </c>
      <c r="D55" s="129">
        <f t="shared" si="0"/>
        <v>0</v>
      </c>
    </row>
    <row r="56" spans="1:4">
      <c r="A56" s="27" t="s">
        <v>117</v>
      </c>
      <c r="B56" s="128">
        <v>1</v>
      </c>
      <c r="C56" s="128">
        <v>1</v>
      </c>
      <c r="D56" s="129">
        <f t="shared" si="0"/>
        <v>0</v>
      </c>
    </row>
    <row r="57" spans="1:4">
      <c r="A57" s="27" t="s">
        <v>118</v>
      </c>
      <c r="B57" s="128">
        <v>1</v>
      </c>
      <c r="C57" s="128">
        <v>1</v>
      </c>
      <c r="D57" s="129">
        <f t="shared" si="0"/>
        <v>0</v>
      </c>
    </row>
    <row r="58" spans="1:4">
      <c r="A58" s="27" t="s">
        <v>119</v>
      </c>
      <c r="B58" s="128">
        <v>1.2000000000000002</v>
      </c>
      <c r="C58" s="128">
        <v>1.6600000000000001</v>
      </c>
      <c r="D58" s="129">
        <f t="shared" si="0"/>
        <v>-30</v>
      </c>
    </row>
    <row r="59" spans="1:4">
      <c r="A59" s="27" t="s">
        <v>120</v>
      </c>
      <c r="B59" s="128">
        <v>1</v>
      </c>
      <c r="C59" s="128">
        <v>1</v>
      </c>
      <c r="D59" s="129">
        <f t="shared" si="0"/>
        <v>0</v>
      </c>
    </row>
    <row r="60" spans="1:4">
      <c r="A60" s="28" t="s">
        <v>121</v>
      </c>
      <c r="B60" s="128">
        <v>1</v>
      </c>
      <c r="C60" s="128">
        <v>1</v>
      </c>
      <c r="D60" s="129">
        <f t="shared" si="0"/>
        <v>0</v>
      </c>
    </row>
    <row r="61" spans="1:4">
      <c r="A61" s="28" t="s">
        <v>122</v>
      </c>
      <c r="B61" s="128">
        <v>1.2000000000000002</v>
      </c>
      <c r="C61" s="128">
        <v>1.6600000000000001</v>
      </c>
      <c r="D61" s="129">
        <f t="shared" si="0"/>
        <v>-30</v>
      </c>
    </row>
    <row r="62" spans="1:4">
      <c r="A62" s="28" t="s">
        <v>123</v>
      </c>
      <c r="B62" s="128">
        <v>1.1000000000000001</v>
      </c>
      <c r="C62" s="128">
        <v>1.33</v>
      </c>
      <c r="D62" s="129">
        <f t="shared" si="0"/>
        <v>-15</v>
      </c>
    </row>
    <row r="63" spans="1:4">
      <c r="A63" s="28" t="s">
        <v>124</v>
      </c>
      <c r="B63" s="128">
        <v>1.3</v>
      </c>
      <c r="C63" s="128">
        <v>1.9900000000000002</v>
      </c>
      <c r="D63" s="129">
        <f t="shared" si="0"/>
        <v>-35</v>
      </c>
    </row>
    <row r="64" spans="1:4">
      <c r="A64" s="28" t="s">
        <v>125</v>
      </c>
      <c r="B64" s="128">
        <v>1.2000000000000002</v>
      </c>
      <c r="C64" s="128">
        <v>1.6600000000000001</v>
      </c>
      <c r="D64" s="129">
        <f t="shared" si="0"/>
        <v>-30</v>
      </c>
    </row>
    <row r="65" spans="1:4">
      <c r="A65" s="28" t="s">
        <v>126</v>
      </c>
      <c r="B65" s="128">
        <v>1.2000000000000002</v>
      </c>
      <c r="C65" s="128">
        <v>1.6600000000000001</v>
      </c>
      <c r="D65" s="129">
        <f t="shared" si="0"/>
        <v>-30</v>
      </c>
    </row>
    <row r="66" spans="1:4">
      <c r="A66" s="27" t="s">
        <v>127</v>
      </c>
      <c r="B66" s="128">
        <v>1.2000000000000002</v>
      </c>
      <c r="C66" s="128">
        <v>1.6600000000000001</v>
      </c>
      <c r="D66" s="129">
        <f t="shared" si="0"/>
        <v>-30</v>
      </c>
    </row>
    <row r="67" spans="1:4">
      <c r="A67" s="27" t="s">
        <v>128</v>
      </c>
      <c r="B67" s="128">
        <v>1.1000000000000001</v>
      </c>
      <c r="C67" s="128">
        <v>1.33</v>
      </c>
      <c r="D67" s="129">
        <f t="shared" si="0"/>
        <v>-15</v>
      </c>
    </row>
    <row r="68" spans="1:4">
      <c r="A68" s="27" t="s">
        <v>129</v>
      </c>
      <c r="B68" s="128">
        <v>1.2000000000000002</v>
      </c>
      <c r="C68" s="128">
        <v>1.6600000000000001</v>
      </c>
      <c r="D68" s="129">
        <f t="shared" si="0"/>
        <v>-30</v>
      </c>
    </row>
    <row r="69" spans="1:4">
      <c r="A69" s="27" t="s">
        <v>130</v>
      </c>
      <c r="B69" s="128">
        <v>1.2000000000000002</v>
      </c>
      <c r="C69" s="128">
        <v>1.6600000000000001</v>
      </c>
      <c r="D69" s="129">
        <f t="shared" si="0"/>
        <v>-30</v>
      </c>
    </row>
  </sheetData>
  <sheetProtection algorithmName="SHA-512" hashValue="3GZZT02sgVdpa0B280tr2UrUvdWrjseX/vfLwbHrGaGcDY7A71MUfYTlpsj2PIUagYnFqcWcTFiK4CsMqIElZg==" saltValue="6V+wyz35gZwBjO0nFl9eSQ==" spinCount="100000" sheet="1" objects="1" scenarios="1"/>
  <mergeCells count="11">
    <mergeCell ref="G1:N1"/>
    <mergeCell ref="A28:D28"/>
    <mergeCell ref="B6:C6"/>
    <mergeCell ref="B7:C7"/>
    <mergeCell ref="B8:C8"/>
    <mergeCell ref="A1:F1"/>
    <mergeCell ref="G26:N26"/>
    <mergeCell ref="A26:F26"/>
    <mergeCell ref="H6:J6"/>
    <mergeCell ref="A3:F3"/>
    <mergeCell ref="G3:N3"/>
  </mergeCells>
  <pageMargins left="0.25" right="0.25" top="0.75" bottom="0.75" header="0.3" footer="0.3"/>
  <pageSetup paperSize="5" scale="9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24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6A53-3FF6-42D3-AB80-7E5186CA8AAA}">
  <sheetPr>
    <tabColor theme="8" tint="-0.499984740745262"/>
    <pageSetUpPr fitToPage="1"/>
  </sheetPr>
  <dimension ref="A1:C41"/>
  <sheetViews>
    <sheetView showGridLines="0" zoomScale="85" zoomScaleNormal="85" workbookViewId="0">
      <pane ySplit="1" topLeftCell="A2" activePane="bottomLeft" state="frozen"/>
      <selection pane="bottomLeft" activeCell="A2" sqref="A2"/>
      <selection activeCell="A9" sqref="A9:B9"/>
    </sheetView>
  </sheetViews>
  <sheetFormatPr defaultRowHeight="14.45"/>
  <cols>
    <col min="2" max="3" width="13.85546875" style="1" customWidth="1"/>
  </cols>
  <sheetData>
    <row r="1" spans="1:3" ht="21">
      <c r="A1" s="42" t="s">
        <v>335</v>
      </c>
      <c r="B1" s="40" t="s">
        <v>333</v>
      </c>
      <c r="C1" s="40" t="s">
        <v>334</v>
      </c>
    </row>
    <row r="2" spans="1:3">
      <c r="A2" s="38" t="s">
        <v>91</v>
      </c>
      <c r="B2" s="48">
        <v>3</v>
      </c>
      <c r="C2" s="48">
        <v>1</v>
      </c>
    </row>
    <row r="3" spans="1:3">
      <c r="A3" s="38" t="s">
        <v>92</v>
      </c>
      <c r="B3" s="48">
        <v>1</v>
      </c>
      <c r="C3" s="48">
        <v>1</v>
      </c>
    </row>
    <row r="4" spans="1:3">
      <c r="A4" s="38" t="s">
        <v>93</v>
      </c>
      <c r="B4" s="48">
        <v>4</v>
      </c>
      <c r="C4" s="48">
        <v>1</v>
      </c>
    </row>
    <row r="5" spans="1:3">
      <c r="A5" s="38" t="s">
        <v>94</v>
      </c>
      <c r="B5" s="48">
        <v>1</v>
      </c>
      <c r="C5" s="48">
        <v>1</v>
      </c>
    </row>
    <row r="6" spans="1:3">
      <c r="A6" s="38" t="s">
        <v>95</v>
      </c>
      <c r="B6" s="48">
        <v>2</v>
      </c>
      <c r="C6" s="48">
        <v>1</v>
      </c>
    </row>
    <row r="7" spans="1:3">
      <c r="A7" s="39" t="s">
        <v>96</v>
      </c>
      <c r="B7" s="48">
        <v>3</v>
      </c>
      <c r="C7" s="48">
        <v>1</v>
      </c>
    </row>
    <row r="8" spans="1:3">
      <c r="A8" s="39" t="s">
        <v>97</v>
      </c>
      <c r="B8" s="48">
        <v>1</v>
      </c>
      <c r="C8" s="48">
        <v>1</v>
      </c>
    </row>
    <row r="9" spans="1:3">
      <c r="A9" s="39" t="s">
        <v>98</v>
      </c>
      <c r="B9" s="48">
        <v>3</v>
      </c>
      <c r="C9" s="48">
        <v>1</v>
      </c>
    </row>
    <row r="10" spans="1:3">
      <c r="A10" s="39" t="s">
        <v>99</v>
      </c>
      <c r="B10" s="48">
        <v>1</v>
      </c>
      <c r="C10" s="48">
        <v>1</v>
      </c>
    </row>
    <row r="11" spans="1:3">
      <c r="A11" s="39" t="s">
        <v>100</v>
      </c>
      <c r="B11" s="48">
        <v>1</v>
      </c>
      <c r="C11" s="48">
        <v>1</v>
      </c>
    </row>
    <row r="12" spans="1:3">
      <c r="A12" s="39" t="s">
        <v>101</v>
      </c>
      <c r="B12" s="48">
        <v>1</v>
      </c>
      <c r="C12" s="48">
        <v>1</v>
      </c>
    </row>
    <row r="13" spans="1:3">
      <c r="A13" s="39" t="s">
        <v>102</v>
      </c>
      <c r="B13" s="48">
        <v>2</v>
      </c>
      <c r="C13" s="48">
        <v>1</v>
      </c>
    </row>
    <row r="14" spans="1:3">
      <c r="A14" s="39" t="s">
        <v>103</v>
      </c>
      <c r="B14" s="48">
        <v>1</v>
      </c>
      <c r="C14" s="48">
        <v>1</v>
      </c>
    </row>
    <row r="15" spans="1:3">
      <c r="A15" s="39" t="s">
        <v>104</v>
      </c>
      <c r="B15" s="48">
        <v>2</v>
      </c>
      <c r="C15" s="48">
        <v>1</v>
      </c>
    </row>
    <row r="16" spans="1:3">
      <c r="A16" s="39" t="s">
        <v>105</v>
      </c>
      <c r="B16" s="48">
        <v>3</v>
      </c>
      <c r="C16" s="48">
        <v>1</v>
      </c>
    </row>
    <row r="17" spans="1:3">
      <c r="A17" s="39" t="s">
        <v>106</v>
      </c>
      <c r="B17" s="48">
        <v>2</v>
      </c>
      <c r="C17" s="48">
        <v>1</v>
      </c>
    </row>
    <row r="18" spans="1:3">
      <c r="A18" s="39" t="s">
        <v>107</v>
      </c>
      <c r="B18" s="48">
        <v>4</v>
      </c>
      <c r="C18" s="48">
        <v>1</v>
      </c>
    </row>
    <row r="19" spans="1:3">
      <c r="A19" s="39" t="s">
        <v>108</v>
      </c>
      <c r="B19" s="48">
        <v>4</v>
      </c>
      <c r="C19" s="48">
        <v>1</v>
      </c>
    </row>
    <row r="20" spans="1:3">
      <c r="A20" s="39" t="s">
        <v>109</v>
      </c>
      <c r="B20" s="48">
        <v>3</v>
      </c>
      <c r="C20" s="48">
        <v>1</v>
      </c>
    </row>
    <row r="21" spans="1:3">
      <c r="A21" s="38" t="s">
        <v>110</v>
      </c>
      <c r="B21" s="48">
        <v>1</v>
      </c>
      <c r="C21" s="48">
        <v>1</v>
      </c>
    </row>
    <row r="22" spans="1:3">
      <c r="A22" s="38" t="s">
        <v>111</v>
      </c>
      <c r="B22" s="48">
        <v>1</v>
      </c>
      <c r="C22" s="48">
        <v>1</v>
      </c>
    </row>
    <row r="23" spans="1:3">
      <c r="A23" s="38" t="s">
        <v>112</v>
      </c>
      <c r="B23" s="48">
        <v>1</v>
      </c>
      <c r="C23" s="48">
        <v>1</v>
      </c>
    </row>
    <row r="24" spans="1:3">
      <c r="A24" s="38" t="s">
        <v>113</v>
      </c>
      <c r="B24" s="48">
        <v>2</v>
      </c>
      <c r="C24" s="48">
        <v>1</v>
      </c>
    </row>
    <row r="25" spans="1:3">
      <c r="A25" s="38" t="s">
        <v>114</v>
      </c>
      <c r="B25" s="48">
        <v>1</v>
      </c>
      <c r="C25" s="48">
        <v>1</v>
      </c>
    </row>
    <row r="26" spans="1:3">
      <c r="A26" s="38" t="s">
        <v>115</v>
      </c>
      <c r="B26" s="48">
        <v>3</v>
      </c>
      <c r="C26" s="48">
        <v>1</v>
      </c>
    </row>
    <row r="27" spans="1:3">
      <c r="A27" s="38" t="s">
        <v>116</v>
      </c>
      <c r="B27" s="48">
        <v>1</v>
      </c>
      <c r="C27" s="48">
        <v>1</v>
      </c>
    </row>
    <row r="28" spans="1:3">
      <c r="A28" s="38" t="s">
        <v>117</v>
      </c>
      <c r="B28" s="48">
        <v>1</v>
      </c>
      <c r="C28" s="48">
        <v>1</v>
      </c>
    </row>
    <row r="29" spans="1:3">
      <c r="A29" s="38" t="s">
        <v>118</v>
      </c>
      <c r="B29" s="48">
        <v>1</v>
      </c>
      <c r="C29" s="48">
        <v>1</v>
      </c>
    </row>
    <row r="30" spans="1:3">
      <c r="A30" s="38" t="s">
        <v>119</v>
      </c>
      <c r="B30" s="48">
        <v>3</v>
      </c>
      <c r="C30" s="48">
        <v>1</v>
      </c>
    </row>
    <row r="31" spans="1:3">
      <c r="A31" s="38" t="s">
        <v>120</v>
      </c>
      <c r="B31" s="48">
        <v>1</v>
      </c>
      <c r="C31" s="48">
        <v>1</v>
      </c>
    </row>
    <row r="32" spans="1:3">
      <c r="A32" s="39" t="s">
        <v>121</v>
      </c>
      <c r="B32" s="48">
        <v>1</v>
      </c>
      <c r="C32" s="48">
        <v>1</v>
      </c>
    </row>
    <row r="33" spans="1:3">
      <c r="A33" s="39" t="s">
        <v>122</v>
      </c>
      <c r="B33" s="48">
        <v>3</v>
      </c>
      <c r="C33" s="48">
        <v>1</v>
      </c>
    </row>
    <row r="34" spans="1:3">
      <c r="A34" s="39" t="s">
        <v>123</v>
      </c>
      <c r="B34" s="48">
        <v>2</v>
      </c>
      <c r="C34" s="48">
        <v>1</v>
      </c>
    </row>
    <row r="35" spans="1:3">
      <c r="A35" s="39" t="s">
        <v>124</v>
      </c>
      <c r="B35" s="48">
        <v>4</v>
      </c>
      <c r="C35" s="48">
        <v>1</v>
      </c>
    </row>
    <row r="36" spans="1:3">
      <c r="A36" s="39" t="s">
        <v>125</v>
      </c>
      <c r="B36" s="48">
        <v>3</v>
      </c>
      <c r="C36" s="48">
        <v>1</v>
      </c>
    </row>
    <row r="37" spans="1:3">
      <c r="A37" s="39" t="s">
        <v>126</v>
      </c>
      <c r="B37" s="48">
        <v>3</v>
      </c>
      <c r="C37" s="48">
        <v>1</v>
      </c>
    </row>
    <row r="38" spans="1:3">
      <c r="A38" s="38" t="s">
        <v>127</v>
      </c>
      <c r="B38" s="48">
        <v>3</v>
      </c>
      <c r="C38" s="48">
        <v>1</v>
      </c>
    </row>
    <row r="39" spans="1:3">
      <c r="A39" s="38" t="s">
        <v>128</v>
      </c>
      <c r="B39" s="48">
        <v>2</v>
      </c>
      <c r="C39" s="48">
        <v>1</v>
      </c>
    </row>
    <row r="40" spans="1:3">
      <c r="A40" s="38" t="s">
        <v>129</v>
      </c>
      <c r="B40" s="48">
        <v>3</v>
      </c>
      <c r="C40" s="48">
        <v>1</v>
      </c>
    </row>
    <row r="41" spans="1:3">
      <c r="A41" s="38" t="s">
        <v>130</v>
      </c>
      <c r="B41" s="48">
        <v>3</v>
      </c>
      <c r="C41" s="48">
        <v>1</v>
      </c>
    </row>
  </sheetData>
  <sheetProtection algorithmName="SHA-512" hashValue="SOls7sNASM4rVnJG1QInE1/R2hk+cOUCtJv80nNBiyWbB8ldhxJ1wG+a+/mxcP7C9F8tOapbaNXrbla7ts9m6Q==" saltValue="UB0NfC/6HLINnZ5AkzNDZw==" spinCount="100000" sheet="1" objects="1" scenarios="1" selectLockedCells="1" selectUnlockedCells="1"/>
  <conditionalFormatting sqref="B2:C41">
    <cfRule type="cellIs" dxfId="19" priority="1" stopIfTrue="1" operator="greaterThanOrEqual">
      <formula>3</formula>
    </cfRule>
    <cfRule type="cellIs" dxfId="18" priority="2" stopIfTrue="1" operator="greaterThanOrEqual">
      <formula>2</formula>
    </cfRule>
    <cfRule type="cellIs" dxfId="17" priority="3" operator="greaterThanOrEqual">
      <formula>1</formula>
    </cfRule>
  </conditionalFormatting>
  <pageMargins left="0.25" right="0.25" top="0.75" bottom="0.75" header="0.3" footer="0.3"/>
  <pageSetup paperSize="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A056-44F9-416E-B09B-028CD4E06A22}">
  <sheetPr>
    <tabColor theme="9" tint="-0.499984740745262"/>
    <pageSetUpPr fitToPage="1"/>
  </sheetPr>
  <dimension ref="A1:U69"/>
  <sheetViews>
    <sheetView showGridLines="0" zoomScale="85" zoomScaleNormal="85" workbookViewId="0">
      <pane ySplit="2" topLeftCell="A3" activePane="bottomLeft" state="frozen"/>
      <selection pane="bottomLeft" activeCell="B9" sqref="B9:C9"/>
      <selection activeCell="A9" sqref="A9:B9"/>
    </sheetView>
  </sheetViews>
  <sheetFormatPr defaultRowHeight="14.45"/>
  <cols>
    <col min="1" max="1" width="12.140625" customWidth="1"/>
    <col min="2" max="2" width="7.140625" customWidth="1"/>
    <col min="3" max="3" width="7.7109375" customWidth="1"/>
    <col min="4" max="4" width="10.7109375" customWidth="1"/>
    <col min="5" max="5" width="28.85546875" customWidth="1"/>
    <col min="6" max="6" width="27.42578125" customWidth="1"/>
    <col min="7" max="7" width="13.42578125" customWidth="1"/>
    <col min="16" max="16" width="11.140625" customWidth="1"/>
  </cols>
  <sheetData>
    <row r="1" spans="1:17" s="19" customFormat="1" ht="32.450000000000003" customHeight="1">
      <c r="A1" s="204" t="s">
        <v>336</v>
      </c>
      <c r="B1" s="205"/>
      <c r="C1" s="205"/>
      <c r="D1" s="205"/>
      <c r="E1" s="205"/>
      <c r="F1" s="205"/>
      <c r="G1" s="204" t="s">
        <v>336</v>
      </c>
      <c r="H1" s="205"/>
      <c r="I1" s="205"/>
      <c r="J1" s="205"/>
      <c r="K1" s="205"/>
      <c r="L1" s="205"/>
      <c r="M1" s="205"/>
      <c r="N1" s="205"/>
      <c r="O1" s="205"/>
      <c r="P1" s="205"/>
    </row>
    <row r="2" spans="1:17" ht="15.95" customHeight="1"/>
    <row r="3" spans="1:17" s="19" customFormat="1" ht="21" customHeight="1">
      <c r="A3" s="202" t="s">
        <v>337</v>
      </c>
      <c r="B3" s="202"/>
      <c r="C3" s="202"/>
      <c r="D3" s="202"/>
      <c r="E3" s="202"/>
      <c r="F3" s="202"/>
      <c r="G3" s="202" t="s">
        <v>337</v>
      </c>
      <c r="H3" s="202"/>
      <c r="I3" s="202"/>
      <c r="J3" s="202"/>
      <c r="K3" s="202"/>
      <c r="L3" s="202"/>
      <c r="M3" s="202"/>
      <c r="N3" s="202"/>
      <c r="O3" s="202"/>
      <c r="P3" s="202"/>
      <c r="Q3"/>
    </row>
    <row r="4" spans="1:17" ht="12" customHeight="1"/>
    <row r="5" spans="1:17" ht="6.95" customHeight="1"/>
    <row r="6" spans="1:17" s="32" customFormat="1" ht="27.95" customHeight="1">
      <c r="A6" s="118" t="s">
        <v>71</v>
      </c>
      <c r="B6" s="237" t="s">
        <v>338</v>
      </c>
      <c r="C6" s="237"/>
      <c r="D6" s="121" t="s">
        <v>73</v>
      </c>
      <c r="H6" s="236" t="s">
        <v>332</v>
      </c>
      <c r="I6" s="236"/>
      <c r="J6" s="236"/>
      <c r="K6" s="236"/>
      <c r="L6" s="236"/>
    </row>
    <row r="7" spans="1:17">
      <c r="A7" s="124" t="s">
        <v>333</v>
      </c>
      <c r="B7" s="238">
        <v>0.8</v>
      </c>
      <c r="C7" s="239"/>
      <c r="D7" s="130">
        <v>0</v>
      </c>
    </row>
    <row r="8" spans="1:17">
      <c r="A8" s="124" t="s">
        <v>334</v>
      </c>
      <c r="B8" s="238">
        <v>0.2</v>
      </c>
      <c r="C8" s="239"/>
      <c r="D8" s="130">
        <v>1</v>
      </c>
    </row>
    <row r="9" spans="1:17">
      <c r="A9" s="124" t="s">
        <v>339</v>
      </c>
      <c r="B9" s="240">
        <v>0</v>
      </c>
      <c r="C9" s="241"/>
      <c r="D9" s="131">
        <v>0</v>
      </c>
    </row>
    <row r="10" spans="1:17" ht="15.6">
      <c r="E10" s="26"/>
      <c r="F10" s="26"/>
    </row>
    <row r="11" spans="1:17" s="33" customFormat="1" ht="207.95" customHeight="1">
      <c r="A11" s="123" t="s">
        <v>78</v>
      </c>
      <c r="B11" s="86"/>
    </row>
    <row r="12" spans="1:17" s="33" customFormat="1" ht="13.9">
      <c r="A12" s="123" t="s">
        <v>79</v>
      </c>
      <c r="B12" s="86"/>
    </row>
    <row r="13" spans="1:17" s="33" customFormat="1" ht="13.9">
      <c r="A13" s="123"/>
      <c r="B13" s="86"/>
    </row>
    <row r="14" spans="1:17" s="33" customFormat="1" ht="13.9">
      <c r="A14" s="123"/>
      <c r="B14" s="86"/>
    </row>
    <row r="15" spans="1:17" s="33" customFormat="1" ht="13.9">
      <c r="A15" s="123"/>
      <c r="B15" s="86"/>
    </row>
    <row r="16" spans="1:17" s="33" customFormat="1" ht="13.9">
      <c r="A16" s="123"/>
      <c r="B16" s="86"/>
    </row>
    <row r="17" spans="1:21" s="33" customFormat="1" ht="13.9">
      <c r="A17" s="123"/>
      <c r="B17" s="86"/>
    </row>
    <row r="18" spans="1:21" s="33" customFormat="1" ht="13.9">
      <c r="A18" s="123"/>
      <c r="B18" s="86"/>
    </row>
    <row r="19" spans="1:21" s="33" customFormat="1" ht="13.9">
      <c r="A19" s="123"/>
      <c r="B19" s="86"/>
    </row>
    <row r="20" spans="1:21" s="33" customFormat="1" ht="13.9">
      <c r="A20" s="123"/>
      <c r="B20" s="86"/>
    </row>
    <row r="21" spans="1:21" s="33" customFormat="1" ht="13.9">
      <c r="A21" s="123"/>
      <c r="B21" s="86"/>
    </row>
    <row r="22" spans="1:21" s="33" customFormat="1" ht="13.9">
      <c r="A22" s="123"/>
      <c r="B22" s="86"/>
    </row>
    <row r="23" spans="1:21" s="33" customFormat="1" ht="13.9">
      <c r="A23" s="123"/>
      <c r="B23" s="86"/>
    </row>
    <row r="24" spans="1:21" s="33" customFormat="1" ht="13.9">
      <c r="A24" s="123" t="s">
        <v>80</v>
      </c>
      <c r="B24" s="86">
        <v>1</v>
      </c>
    </row>
    <row r="25" spans="1:21" s="33" customFormat="1" ht="13.9">
      <c r="E25" s="109"/>
      <c r="F25" s="110"/>
    </row>
    <row r="26" spans="1:21" s="32" customFormat="1" ht="24.6" customHeight="1">
      <c r="A26" s="207" t="s">
        <v>81</v>
      </c>
      <c r="B26" s="207"/>
      <c r="C26" s="207"/>
      <c r="D26" s="207"/>
      <c r="E26" s="207"/>
      <c r="F26" s="207"/>
      <c r="G26" s="207" t="s">
        <v>81</v>
      </c>
      <c r="H26" s="207"/>
      <c r="I26" s="207"/>
      <c r="J26" s="207"/>
      <c r="K26" s="207"/>
      <c r="L26" s="207"/>
      <c r="M26" s="207"/>
      <c r="N26" s="207"/>
      <c r="O26" s="207"/>
      <c r="P26" s="207"/>
      <c r="Q26"/>
      <c r="R26"/>
      <c r="S26"/>
      <c r="T26"/>
      <c r="U26"/>
    </row>
    <row r="27" spans="1:21" ht="9" customHeight="1"/>
    <row r="28" spans="1:21" s="32" customFormat="1" ht="32.450000000000003" customHeight="1">
      <c r="A28" s="224" t="s">
        <v>147</v>
      </c>
      <c r="B28" s="225"/>
      <c r="C28" s="225"/>
      <c r="D28" s="225"/>
      <c r="E28"/>
      <c r="F28"/>
      <c r="G28"/>
    </row>
    <row r="29" spans="1:21" s="32" customFormat="1" ht="45.6" customHeight="1">
      <c r="A29" s="93" t="s">
        <v>83</v>
      </c>
      <c r="B29" s="94" t="s">
        <v>84</v>
      </c>
      <c r="C29" s="94" t="s">
        <v>85</v>
      </c>
      <c r="D29" s="94" t="s">
        <v>86</v>
      </c>
    </row>
    <row r="30" spans="1:21">
      <c r="A30" s="27" t="s">
        <v>91</v>
      </c>
      <c r="B30" s="128">
        <f t="array" ref="B30:B69">MMULT(DF6map!B2:D41,'DF6'!B7:B9)</f>
        <v>2.8000000000000003</v>
      </c>
      <c r="C30" s="128">
        <f t="array" ref="C30:C69">MMULT(DF6map!B2:D41,'DF6'!D7:D9)</f>
        <v>2</v>
      </c>
      <c r="D30" s="129">
        <f>IFERROR(MROUND((100*B30/C30),5)-100,0)</f>
        <v>40</v>
      </c>
    </row>
    <row r="31" spans="1:21">
      <c r="A31" s="27" t="s">
        <v>92</v>
      </c>
      <c r="B31" s="128">
        <v>1</v>
      </c>
      <c r="C31" s="128">
        <v>1</v>
      </c>
      <c r="D31" s="129">
        <f t="shared" ref="D31:D69" si="0">IFERROR(MROUND((100*B31/C31),5)-100,0)</f>
        <v>0</v>
      </c>
      <c r="I31" s="1"/>
    </row>
    <row r="32" spans="1:21">
      <c r="A32" s="27" t="s">
        <v>93</v>
      </c>
      <c r="B32" s="128">
        <v>3.6</v>
      </c>
      <c r="C32" s="128">
        <v>2</v>
      </c>
      <c r="D32" s="129">
        <f t="shared" si="0"/>
        <v>80</v>
      </c>
    </row>
    <row r="33" spans="1:4">
      <c r="A33" s="27" t="s">
        <v>94</v>
      </c>
      <c r="B33" s="128">
        <v>1</v>
      </c>
      <c r="C33" s="128">
        <v>1</v>
      </c>
      <c r="D33" s="129">
        <f t="shared" si="0"/>
        <v>0</v>
      </c>
    </row>
    <row r="34" spans="1:4">
      <c r="A34" s="27" t="s">
        <v>95</v>
      </c>
      <c r="B34" s="128">
        <v>1.4000000000000001</v>
      </c>
      <c r="C34" s="128">
        <v>1</v>
      </c>
      <c r="D34" s="129">
        <f t="shared" si="0"/>
        <v>40</v>
      </c>
    </row>
    <row r="35" spans="1:4">
      <c r="A35" s="28" t="s">
        <v>96</v>
      </c>
      <c r="B35" s="128">
        <v>1.9000000000000001</v>
      </c>
      <c r="C35" s="128">
        <v>1.5</v>
      </c>
      <c r="D35" s="129">
        <f t="shared" si="0"/>
        <v>25</v>
      </c>
    </row>
    <row r="36" spans="1:4">
      <c r="A36" s="28" t="s">
        <v>97</v>
      </c>
      <c r="B36" s="128">
        <v>1</v>
      </c>
      <c r="C36" s="128">
        <v>1</v>
      </c>
      <c r="D36" s="129">
        <f t="shared" si="0"/>
        <v>0</v>
      </c>
    </row>
    <row r="37" spans="1:4">
      <c r="A37" s="28" t="s">
        <v>98</v>
      </c>
      <c r="B37" s="128">
        <v>1</v>
      </c>
      <c r="C37" s="128">
        <v>1</v>
      </c>
      <c r="D37" s="129">
        <f t="shared" si="0"/>
        <v>0</v>
      </c>
    </row>
    <row r="38" spans="1:4">
      <c r="A38" s="28" t="s">
        <v>99</v>
      </c>
      <c r="B38" s="128">
        <v>1</v>
      </c>
      <c r="C38" s="128">
        <v>1</v>
      </c>
      <c r="D38" s="129">
        <f t="shared" si="0"/>
        <v>0</v>
      </c>
    </row>
    <row r="39" spans="1:4">
      <c r="A39" s="28" t="s">
        <v>100</v>
      </c>
      <c r="B39" s="128">
        <v>1</v>
      </c>
      <c r="C39" s="128">
        <v>1</v>
      </c>
      <c r="D39" s="129">
        <f t="shared" si="0"/>
        <v>0</v>
      </c>
    </row>
    <row r="40" spans="1:4">
      <c r="A40" s="28" t="s">
        <v>101</v>
      </c>
      <c r="B40" s="128">
        <v>1</v>
      </c>
      <c r="C40" s="128">
        <v>1</v>
      </c>
      <c r="D40" s="129">
        <f t="shared" si="0"/>
        <v>0</v>
      </c>
    </row>
    <row r="41" spans="1:4">
      <c r="A41" s="28" t="s">
        <v>102</v>
      </c>
      <c r="B41" s="128">
        <v>1</v>
      </c>
      <c r="C41" s="128">
        <v>1</v>
      </c>
      <c r="D41" s="129">
        <f t="shared" si="0"/>
        <v>0</v>
      </c>
    </row>
    <row r="42" spans="1:4">
      <c r="A42" s="28" t="s">
        <v>103</v>
      </c>
      <c r="B42" s="128">
        <v>1</v>
      </c>
      <c r="C42" s="128">
        <v>1</v>
      </c>
      <c r="D42" s="129">
        <f t="shared" si="0"/>
        <v>0</v>
      </c>
    </row>
    <row r="43" spans="1:4">
      <c r="A43" s="28" t="s">
        <v>104</v>
      </c>
      <c r="B43" s="128">
        <v>1</v>
      </c>
      <c r="C43" s="128">
        <v>1</v>
      </c>
      <c r="D43" s="129">
        <f t="shared" si="0"/>
        <v>0</v>
      </c>
    </row>
    <row r="44" spans="1:4">
      <c r="A44" s="28" t="s">
        <v>105</v>
      </c>
      <c r="B44" s="128">
        <v>1.4000000000000001</v>
      </c>
      <c r="C44" s="128">
        <v>1</v>
      </c>
      <c r="D44" s="129">
        <f t="shared" si="0"/>
        <v>40</v>
      </c>
    </row>
    <row r="45" spans="1:4">
      <c r="A45" s="28" t="s">
        <v>106</v>
      </c>
      <c r="B45" s="128">
        <v>1</v>
      </c>
      <c r="C45" s="128">
        <v>1</v>
      </c>
      <c r="D45" s="129">
        <f t="shared" si="0"/>
        <v>0</v>
      </c>
    </row>
    <row r="46" spans="1:4">
      <c r="A46" s="28" t="s">
        <v>107</v>
      </c>
      <c r="B46" s="128">
        <v>3.6</v>
      </c>
      <c r="C46" s="128">
        <v>2</v>
      </c>
      <c r="D46" s="129">
        <f t="shared" si="0"/>
        <v>80</v>
      </c>
    </row>
    <row r="47" spans="1:4">
      <c r="A47" s="28" t="s">
        <v>108</v>
      </c>
      <c r="B47" s="128">
        <v>1.4000000000000001</v>
      </c>
      <c r="C47" s="128">
        <v>1</v>
      </c>
      <c r="D47" s="129">
        <f t="shared" si="0"/>
        <v>40</v>
      </c>
    </row>
    <row r="48" spans="1:4">
      <c r="A48" s="28" t="s">
        <v>109</v>
      </c>
      <c r="B48" s="128">
        <v>1.9000000000000001</v>
      </c>
      <c r="C48" s="128">
        <v>1.5</v>
      </c>
      <c r="D48" s="129">
        <f t="shared" si="0"/>
        <v>25</v>
      </c>
    </row>
    <row r="49" spans="1:4">
      <c r="A49" s="27" t="s">
        <v>110</v>
      </c>
      <c r="B49" s="128">
        <v>1</v>
      </c>
      <c r="C49" s="128">
        <v>1</v>
      </c>
      <c r="D49" s="129">
        <f t="shared" si="0"/>
        <v>0</v>
      </c>
    </row>
    <row r="50" spans="1:4">
      <c r="A50" s="27" t="s">
        <v>111</v>
      </c>
      <c r="B50" s="128">
        <v>1</v>
      </c>
      <c r="C50" s="128">
        <v>1</v>
      </c>
      <c r="D50" s="129">
        <f t="shared" si="0"/>
        <v>0</v>
      </c>
    </row>
    <row r="51" spans="1:4">
      <c r="A51" s="27" t="s">
        <v>112</v>
      </c>
      <c r="B51" s="128">
        <v>1</v>
      </c>
      <c r="C51" s="128">
        <v>1</v>
      </c>
      <c r="D51" s="129">
        <f t="shared" si="0"/>
        <v>0</v>
      </c>
    </row>
    <row r="52" spans="1:4">
      <c r="A52" s="27" t="s">
        <v>113</v>
      </c>
      <c r="B52" s="128">
        <v>1</v>
      </c>
      <c r="C52" s="128">
        <v>1</v>
      </c>
      <c r="D52" s="129">
        <f t="shared" si="0"/>
        <v>0</v>
      </c>
    </row>
    <row r="53" spans="1:4">
      <c r="A53" s="27" t="s">
        <v>114</v>
      </c>
      <c r="B53" s="128">
        <v>1</v>
      </c>
      <c r="C53" s="128">
        <v>1</v>
      </c>
      <c r="D53" s="129">
        <f t="shared" si="0"/>
        <v>0</v>
      </c>
    </row>
    <row r="54" spans="1:4">
      <c r="A54" s="27" t="s">
        <v>115</v>
      </c>
      <c r="B54" s="128">
        <v>1</v>
      </c>
      <c r="C54" s="128">
        <v>1</v>
      </c>
      <c r="D54" s="129">
        <f t="shared" si="0"/>
        <v>0</v>
      </c>
    </row>
    <row r="55" spans="1:4">
      <c r="A55" s="27" t="s">
        <v>116</v>
      </c>
      <c r="B55" s="128">
        <v>1</v>
      </c>
      <c r="C55" s="128">
        <v>1</v>
      </c>
      <c r="D55" s="129">
        <f t="shared" si="0"/>
        <v>0</v>
      </c>
    </row>
    <row r="56" spans="1:4">
      <c r="A56" s="27" t="s">
        <v>117</v>
      </c>
      <c r="B56" s="128">
        <v>1</v>
      </c>
      <c r="C56" s="128">
        <v>1</v>
      </c>
      <c r="D56" s="129">
        <f t="shared" si="0"/>
        <v>0</v>
      </c>
    </row>
    <row r="57" spans="1:4">
      <c r="A57" s="27" t="s">
        <v>118</v>
      </c>
      <c r="B57" s="128">
        <v>1</v>
      </c>
      <c r="C57" s="128">
        <v>1</v>
      </c>
      <c r="D57" s="129">
        <f t="shared" si="0"/>
        <v>0</v>
      </c>
    </row>
    <row r="58" spans="1:4">
      <c r="A58" s="27" t="s">
        <v>119</v>
      </c>
      <c r="B58" s="128">
        <v>1</v>
      </c>
      <c r="C58" s="128">
        <v>1</v>
      </c>
      <c r="D58" s="129">
        <f t="shared" si="0"/>
        <v>0</v>
      </c>
    </row>
    <row r="59" spans="1:4">
      <c r="A59" s="27" t="s">
        <v>120</v>
      </c>
      <c r="B59" s="128">
        <v>1</v>
      </c>
      <c r="C59" s="128">
        <v>1</v>
      </c>
      <c r="D59" s="129">
        <f t="shared" si="0"/>
        <v>0</v>
      </c>
    </row>
    <row r="60" spans="1:4">
      <c r="A60" s="28" t="s">
        <v>121</v>
      </c>
      <c r="B60" s="128">
        <v>1</v>
      </c>
      <c r="C60" s="128">
        <v>1</v>
      </c>
      <c r="D60" s="129">
        <f t="shared" si="0"/>
        <v>0</v>
      </c>
    </row>
    <row r="61" spans="1:4">
      <c r="A61" s="28" t="s">
        <v>122</v>
      </c>
      <c r="B61" s="128">
        <v>1</v>
      </c>
      <c r="C61" s="128">
        <v>1</v>
      </c>
      <c r="D61" s="129">
        <f t="shared" si="0"/>
        <v>0</v>
      </c>
    </row>
    <row r="62" spans="1:4">
      <c r="A62" s="28" t="s">
        <v>123</v>
      </c>
      <c r="B62" s="128">
        <v>1</v>
      </c>
      <c r="C62" s="128">
        <v>1</v>
      </c>
      <c r="D62" s="129">
        <f t="shared" si="0"/>
        <v>0</v>
      </c>
    </row>
    <row r="63" spans="1:4">
      <c r="A63" s="28" t="s">
        <v>124</v>
      </c>
      <c r="B63" s="128">
        <v>1.4000000000000001</v>
      </c>
      <c r="C63" s="128">
        <v>1</v>
      </c>
      <c r="D63" s="129">
        <f t="shared" si="0"/>
        <v>40</v>
      </c>
    </row>
    <row r="64" spans="1:4">
      <c r="A64" s="28" t="s">
        <v>125</v>
      </c>
      <c r="B64" s="128">
        <v>1.8</v>
      </c>
      <c r="C64" s="128">
        <v>1</v>
      </c>
      <c r="D64" s="129">
        <f t="shared" si="0"/>
        <v>80</v>
      </c>
    </row>
    <row r="65" spans="1:4">
      <c r="A65" s="28" t="s">
        <v>126</v>
      </c>
      <c r="B65" s="128">
        <v>1</v>
      </c>
      <c r="C65" s="128">
        <v>1</v>
      </c>
      <c r="D65" s="129">
        <f t="shared" si="0"/>
        <v>0</v>
      </c>
    </row>
    <row r="66" spans="1:4">
      <c r="A66" s="27" t="s">
        <v>127</v>
      </c>
      <c r="B66" s="128">
        <v>1</v>
      </c>
      <c r="C66" s="128">
        <v>1</v>
      </c>
      <c r="D66" s="129">
        <f t="shared" si="0"/>
        <v>0</v>
      </c>
    </row>
    <row r="67" spans="1:4">
      <c r="A67" s="27" t="s">
        <v>128</v>
      </c>
      <c r="B67" s="128">
        <v>1</v>
      </c>
      <c r="C67" s="128">
        <v>1</v>
      </c>
      <c r="D67" s="129">
        <f t="shared" si="0"/>
        <v>0</v>
      </c>
    </row>
    <row r="68" spans="1:4">
      <c r="A68" s="27" t="s">
        <v>129</v>
      </c>
      <c r="B68" s="128">
        <v>3.6</v>
      </c>
      <c r="C68" s="128">
        <v>2</v>
      </c>
      <c r="D68" s="129">
        <f t="shared" si="0"/>
        <v>80</v>
      </c>
    </row>
    <row r="69" spans="1:4">
      <c r="A69" s="27" t="s">
        <v>130</v>
      </c>
      <c r="B69" s="128">
        <v>3.2</v>
      </c>
      <c r="C69" s="128">
        <v>2</v>
      </c>
      <c r="D69" s="129">
        <f t="shared" si="0"/>
        <v>60</v>
      </c>
    </row>
  </sheetData>
  <sheetProtection algorithmName="SHA-512" hashValue="Mvszpae0Bo+zB/WubQ16d2rg7ndI4BsWl4BM5eguo6/FC23HflVhLXQHQWPJyczrJbeUsCkkeR7YcljyH4sCCA==" saltValue="T9H54TkcDdDGP4XtPpPxRA==" spinCount="100000" sheet="1" objects="1" scenarios="1"/>
  <mergeCells count="12">
    <mergeCell ref="G26:P26"/>
    <mergeCell ref="G3:P3"/>
    <mergeCell ref="G1:P1"/>
    <mergeCell ref="H6:L6"/>
    <mergeCell ref="A1:F1"/>
    <mergeCell ref="A3:F3"/>
    <mergeCell ref="A28:D28"/>
    <mergeCell ref="B6:C6"/>
    <mergeCell ref="B7:C7"/>
    <mergeCell ref="B8:C8"/>
    <mergeCell ref="B9:C9"/>
    <mergeCell ref="A26:F26"/>
  </mergeCells>
  <conditionalFormatting sqref="B7:C9">
    <cfRule type="expression" dxfId="16" priority="1">
      <formula>"sum($B$7:$b$9)&lt;&gt;1"</formula>
    </cfRule>
  </conditionalFormatting>
  <pageMargins left="0.25" right="0.25" top="0.75" bottom="0.75" header="0.3" footer="0.3"/>
  <pageSetup paperSize="5" scale="90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24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E87C-C991-460E-A2A7-4929DFCE7338}">
  <sheetPr>
    <tabColor theme="8" tint="-0.499984740745262"/>
    <pageSetUpPr fitToPage="1"/>
  </sheetPr>
  <dimension ref="A1:F41"/>
  <sheetViews>
    <sheetView showGridLines="0" zoomScale="85" zoomScaleNormal="85" workbookViewId="0">
      <pane ySplit="1" topLeftCell="A2" activePane="bottomLeft" state="frozen"/>
      <selection pane="bottomLeft" activeCell="A2" sqref="A2"/>
      <selection activeCell="A9" sqref="A9:B9"/>
    </sheetView>
  </sheetViews>
  <sheetFormatPr defaultRowHeight="14.45"/>
  <cols>
    <col min="2" max="4" width="13.85546875" style="1" customWidth="1"/>
  </cols>
  <sheetData>
    <row r="1" spans="1:6" ht="21">
      <c r="A1" s="42" t="s">
        <v>340</v>
      </c>
      <c r="B1" s="40" t="s">
        <v>333</v>
      </c>
      <c r="C1" s="40" t="s">
        <v>334</v>
      </c>
      <c r="D1" s="40" t="s">
        <v>339</v>
      </c>
    </row>
    <row r="2" spans="1:6">
      <c r="A2" s="38" t="s">
        <v>91</v>
      </c>
      <c r="B2" s="48">
        <v>3</v>
      </c>
      <c r="C2" s="48">
        <v>2</v>
      </c>
      <c r="D2" s="48">
        <v>1</v>
      </c>
    </row>
    <row r="3" spans="1:6">
      <c r="A3" s="38" t="s">
        <v>92</v>
      </c>
      <c r="B3" s="48">
        <v>1</v>
      </c>
      <c r="C3" s="48">
        <v>1</v>
      </c>
      <c r="D3" s="48">
        <v>1</v>
      </c>
    </row>
    <row r="4" spans="1:6">
      <c r="A4" s="38" t="s">
        <v>93</v>
      </c>
      <c r="B4" s="48">
        <v>4</v>
      </c>
      <c r="C4" s="48">
        <v>2</v>
      </c>
      <c r="D4" s="48">
        <v>1</v>
      </c>
    </row>
    <row r="5" spans="1:6">
      <c r="A5" s="38" t="s">
        <v>94</v>
      </c>
      <c r="B5" s="48">
        <v>1</v>
      </c>
      <c r="C5" s="48">
        <v>1</v>
      </c>
      <c r="D5" s="48">
        <v>1</v>
      </c>
    </row>
    <row r="6" spans="1:6">
      <c r="A6" s="38" t="s">
        <v>95</v>
      </c>
      <c r="B6" s="48">
        <v>1.5</v>
      </c>
      <c r="C6" s="48">
        <v>1</v>
      </c>
      <c r="D6" s="48">
        <v>1</v>
      </c>
      <c r="F6" s="24"/>
    </row>
    <row r="7" spans="1:6">
      <c r="A7" s="39" t="s">
        <v>96</v>
      </c>
      <c r="B7" s="48">
        <v>2</v>
      </c>
      <c r="C7" s="48">
        <v>1.5</v>
      </c>
      <c r="D7" s="48">
        <v>1</v>
      </c>
      <c r="F7" s="24"/>
    </row>
    <row r="8" spans="1:6">
      <c r="A8" s="39" t="s">
        <v>97</v>
      </c>
      <c r="B8" s="48">
        <v>1</v>
      </c>
      <c r="C8" s="48">
        <v>1</v>
      </c>
      <c r="D8" s="48">
        <v>1</v>
      </c>
      <c r="F8" s="24"/>
    </row>
    <row r="9" spans="1:6">
      <c r="A9" s="39" t="s">
        <v>98</v>
      </c>
      <c r="B9" s="48">
        <v>1</v>
      </c>
      <c r="C9" s="48">
        <v>1</v>
      </c>
      <c r="D9" s="48">
        <v>1</v>
      </c>
      <c r="F9" s="24"/>
    </row>
    <row r="10" spans="1:6">
      <c r="A10" s="39" t="s">
        <v>99</v>
      </c>
      <c r="B10" s="48">
        <v>1</v>
      </c>
      <c r="C10" s="48">
        <v>1</v>
      </c>
      <c r="D10" s="48">
        <v>1</v>
      </c>
      <c r="F10" s="6"/>
    </row>
    <row r="11" spans="1:6">
      <c r="A11" s="39" t="s">
        <v>100</v>
      </c>
      <c r="B11" s="48">
        <v>1</v>
      </c>
      <c r="C11" s="48">
        <v>1</v>
      </c>
      <c r="D11" s="48">
        <v>1</v>
      </c>
    </row>
    <row r="12" spans="1:6">
      <c r="A12" s="39" t="s">
        <v>101</v>
      </c>
      <c r="B12" s="48">
        <v>1</v>
      </c>
      <c r="C12" s="48">
        <v>1</v>
      </c>
      <c r="D12" s="48">
        <v>1</v>
      </c>
    </row>
    <row r="13" spans="1:6">
      <c r="A13" s="39" t="s">
        <v>102</v>
      </c>
      <c r="B13" s="48">
        <v>1</v>
      </c>
      <c r="C13" s="48">
        <v>1</v>
      </c>
      <c r="D13" s="48">
        <v>1</v>
      </c>
    </row>
    <row r="14" spans="1:6">
      <c r="A14" s="39" t="s">
        <v>103</v>
      </c>
      <c r="B14" s="48">
        <v>1</v>
      </c>
      <c r="C14" s="48">
        <v>1</v>
      </c>
      <c r="D14" s="48">
        <v>1</v>
      </c>
    </row>
    <row r="15" spans="1:6">
      <c r="A15" s="39" t="s">
        <v>104</v>
      </c>
      <c r="B15" s="48">
        <v>1</v>
      </c>
      <c r="C15" s="48">
        <v>1</v>
      </c>
      <c r="D15" s="48">
        <v>1</v>
      </c>
    </row>
    <row r="16" spans="1:6">
      <c r="A16" s="39" t="s">
        <v>105</v>
      </c>
      <c r="B16" s="48">
        <v>1.5</v>
      </c>
      <c r="C16" s="48">
        <v>1</v>
      </c>
      <c r="D16" s="48">
        <v>1</v>
      </c>
    </row>
    <row r="17" spans="1:4">
      <c r="A17" s="39" t="s">
        <v>106</v>
      </c>
      <c r="B17" s="48">
        <v>1</v>
      </c>
      <c r="C17" s="48">
        <v>1</v>
      </c>
      <c r="D17" s="48">
        <v>1</v>
      </c>
    </row>
    <row r="18" spans="1:4">
      <c r="A18" s="39" t="s">
        <v>107</v>
      </c>
      <c r="B18" s="48">
        <v>4</v>
      </c>
      <c r="C18" s="48">
        <v>2</v>
      </c>
      <c r="D18" s="48">
        <v>1</v>
      </c>
    </row>
    <row r="19" spans="1:4">
      <c r="A19" s="39" t="s">
        <v>108</v>
      </c>
      <c r="B19" s="48">
        <v>1.5</v>
      </c>
      <c r="C19" s="48">
        <v>1</v>
      </c>
      <c r="D19" s="48">
        <v>1</v>
      </c>
    </row>
    <row r="20" spans="1:4">
      <c r="A20" s="39" t="s">
        <v>109</v>
      </c>
      <c r="B20" s="48">
        <v>2</v>
      </c>
      <c r="C20" s="48">
        <v>1.5</v>
      </c>
      <c r="D20" s="48">
        <v>1</v>
      </c>
    </row>
    <row r="21" spans="1:4">
      <c r="A21" s="38" t="s">
        <v>110</v>
      </c>
      <c r="B21" s="48">
        <v>1</v>
      </c>
      <c r="C21" s="48">
        <v>1</v>
      </c>
      <c r="D21" s="48">
        <v>1</v>
      </c>
    </row>
    <row r="22" spans="1:4">
      <c r="A22" s="38" t="s">
        <v>111</v>
      </c>
      <c r="B22" s="48">
        <v>1</v>
      </c>
      <c r="C22" s="48">
        <v>1</v>
      </c>
      <c r="D22" s="48">
        <v>1</v>
      </c>
    </row>
    <row r="23" spans="1:4">
      <c r="A23" s="38" t="s">
        <v>112</v>
      </c>
      <c r="B23" s="48">
        <v>1</v>
      </c>
      <c r="C23" s="48">
        <v>1</v>
      </c>
      <c r="D23" s="48">
        <v>1</v>
      </c>
    </row>
    <row r="24" spans="1:4">
      <c r="A24" s="38" t="s">
        <v>113</v>
      </c>
      <c r="B24" s="48">
        <v>1</v>
      </c>
      <c r="C24" s="48">
        <v>1</v>
      </c>
      <c r="D24" s="48">
        <v>1</v>
      </c>
    </row>
    <row r="25" spans="1:4">
      <c r="A25" s="38" t="s">
        <v>114</v>
      </c>
      <c r="B25" s="48">
        <v>1</v>
      </c>
      <c r="C25" s="48">
        <v>1</v>
      </c>
      <c r="D25" s="48">
        <v>1</v>
      </c>
    </row>
    <row r="26" spans="1:4">
      <c r="A26" s="38" t="s">
        <v>115</v>
      </c>
      <c r="B26" s="48">
        <v>1</v>
      </c>
      <c r="C26" s="48">
        <v>1</v>
      </c>
      <c r="D26" s="48">
        <v>1</v>
      </c>
    </row>
    <row r="27" spans="1:4">
      <c r="A27" s="38" t="s">
        <v>116</v>
      </c>
      <c r="B27" s="48">
        <v>1</v>
      </c>
      <c r="C27" s="48">
        <v>1</v>
      </c>
      <c r="D27" s="48">
        <v>1</v>
      </c>
    </row>
    <row r="28" spans="1:4">
      <c r="A28" s="38" t="s">
        <v>117</v>
      </c>
      <c r="B28" s="48">
        <v>1</v>
      </c>
      <c r="C28" s="48">
        <v>1</v>
      </c>
      <c r="D28" s="48">
        <v>1</v>
      </c>
    </row>
    <row r="29" spans="1:4">
      <c r="A29" s="38" t="s">
        <v>118</v>
      </c>
      <c r="B29" s="48">
        <v>1</v>
      </c>
      <c r="C29" s="48">
        <v>1</v>
      </c>
      <c r="D29" s="48">
        <v>1</v>
      </c>
    </row>
    <row r="30" spans="1:4">
      <c r="A30" s="38" t="s">
        <v>119</v>
      </c>
      <c r="B30" s="48">
        <v>1</v>
      </c>
      <c r="C30" s="48">
        <v>1</v>
      </c>
      <c r="D30" s="48">
        <v>1</v>
      </c>
    </row>
    <row r="31" spans="1:4">
      <c r="A31" s="38" t="s">
        <v>120</v>
      </c>
      <c r="B31" s="48">
        <v>1</v>
      </c>
      <c r="C31" s="48">
        <v>1</v>
      </c>
      <c r="D31" s="48">
        <v>1</v>
      </c>
    </row>
    <row r="32" spans="1:4">
      <c r="A32" s="39" t="s">
        <v>121</v>
      </c>
      <c r="B32" s="48">
        <v>1</v>
      </c>
      <c r="C32" s="48">
        <v>1</v>
      </c>
      <c r="D32" s="48">
        <v>1</v>
      </c>
    </row>
    <row r="33" spans="1:4">
      <c r="A33" s="39" t="s">
        <v>122</v>
      </c>
      <c r="B33" s="48">
        <v>1</v>
      </c>
      <c r="C33" s="48">
        <v>1</v>
      </c>
      <c r="D33" s="48">
        <v>1</v>
      </c>
    </row>
    <row r="34" spans="1:4">
      <c r="A34" s="39" t="s">
        <v>123</v>
      </c>
      <c r="B34" s="48">
        <v>1</v>
      </c>
      <c r="C34" s="48">
        <v>1</v>
      </c>
      <c r="D34" s="48">
        <v>1</v>
      </c>
    </row>
    <row r="35" spans="1:4">
      <c r="A35" s="39" t="s">
        <v>124</v>
      </c>
      <c r="B35" s="48">
        <v>1.5</v>
      </c>
      <c r="C35" s="48">
        <v>1</v>
      </c>
      <c r="D35" s="48">
        <v>1</v>
      </c>
    </row>
    <row r="36" spans="1:4">
      <c r="A36" s="39" t="s">
        <v>125</v>
      </c>
      <c r="B36" s="48">
        <v>2</v>
      </c>
      <c r="C36" s="48">
        <v>1</v>
      </c>
      <c r="D36" s="48">
        <v>1</v>
      </c>
    </row>
    <row r="37" spans="1:4">
      <c r="A37" s="39" t="s">
        <v>126</v>
      </c>
      <c r="B37" s="48">
        <v>1</v>
      </c>
      <c r="C37" s="48">
        <v>1</v>
      </c>
      <c r="D37" s="48">
        <v>1</v>
      </c>
    </row>
    <row r="38" spans="1:4">
      <c r="A38" s="38" t="s">
        <v>127</v>
      </c>
      <c r="B38" s="48">
        <v>1</v>
      </c>
      <c r="C38" s="48">
        <v>1</v>
      </c>
      <c r="D38" s="48">
        <v>1</v>
      </c>
    </row>
    <row r="39" spans="1:4">
      <c r="A39" s="38" t="s">
        <v>128</v>
      </c>
      <c r="B39" s="48">
        <v>1</v>
      </c>
      <c r="C39" s="48">
        <v>1</v>
      </c>
      <c r="D39" s="48">
        <v>1</v>
      </c>
    </row>
    <row r="40" spans="1:4">
      <c r="A40" s="38" t="s">
        <v>129</v>
      </c>
      <c r="B40" s="48">
        <v>4</v>
      </c>
      <c r="C40" s="48">
        <v>2</v>
      </c>
      <c r="D40" s="48">
        <v>1</v>
      </c>
    </row>
    <row r="41" spans="1:4">
      <c r="A41" s="38" t="s">
        <v>130</v>
      </c>
      <c r="B41" s="48">
        <v>3.5</v>
      </c>
      <c r="C41" s="48">
        <v>2</v>
      </c>
      <c r="D41" s="48">
        <v>1</v>
      </c>
    </row>
  </sheetData>
  <sheetProtection algorithmName="SHA-512" hashValue="BG8CHkNPvx+NWAuzRTL1wyYihu8badKFc4yQVKtlMpqwfzWJ7j3553Aop78IK7wF8bcSwiEaHxb0EZZMp5LJrQ==" saltValue="SLev+er60ApjZ5kP2dO1sw==" spinCount="100000" sheet="1" objects="1" scenarios="1" selectLockedCells="1" selectUnlockedCells="1"/>
  <conditionalFormatting sqref="B2:D41">
    <cfRule type="cellIs" dxfId="15" priority="1" stopIfTrue="1" operator="greaterThanOrEqual">
      <formula>3</formula>
    </cfRule>
    <cfRule type="cellIs" dxfId="14" priority="2" stopIfTrue="1" operator="greaterThanOrEqual">
      <formula>2</formula>
    </cfRule>
    <cfRule type="cellIs" dxfId="13" priority="3" operator="greaterThanOrEqual">
      <formula>1</formula>
    </cfRule>
  </conditionalFormatting>
  <pageMargins left="0.25" right="0.25" top="0.75" bottom="0.75" header="0.3" footer="0.3"/>
  <pageSetup paperSize="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EFEF-D485-4A41-8BE5-91FD1E2186E5}">
  <sheetPr>
    <tabColor theme="9" tint="-0.499984740745262"/>
    <pageSetUpPr fitToPage="1"/>
  </sheetPr>
  <dimension ref="A1:U71"/>
  <sheetViews>
    <sheetView showGridLines="0" zoomScale="145" zoomScaleNormal="145" workbookViewId="0">
      <pane ySplit="2" topLeftCell="A3" activePane="bottomLeft" state="frozen"/>
      <selection pane="bottomLeft" activeCell="B6" sqref="B6:C6"/>
      <selection activeCell="A9" sqref="A9:B9"/>
    </sheetView>
  </sheetViews>
  <sheetFormatPr defaultRowHeight="14.45"/>
  <cols>
    <col min="1" max="1" width="15.140625" customWidth="1"/>
    <col min="2" max="2" width="6.140625" customWidth="1"/>
    <col min="3" max="3" width="8.42578125" customWidth="1"/>
    <col min="4" max="4" width="11.85546875" customWidth="1"/>
    <col min="5" max="5" width="28.85546875" customWidth="1"/>
    <col min="6" max="6" width="21.28515625" customWidth="1"/>
    <col min="7" max="7" width="17.5703125" customWidth="1"/>
  </cols>
  <sheetData>
    <row r="1" spans="1:16" s="19" customFormat="1" ht="35.1" customHeight="1">
      <c r="A1" s="204" t="s">
        <v>341</v>
      </c>
      <c r="B1" s="205"/>
      <c r="C1" s="205"/>
      <c r="D1" s="205"/>
      <c r="E1" s="205"/>
      <c r="F1" s="205"/>
      <c r="G1" s="204" t="s">
        <v>341</v>
      </c>
      <c r="H1" s="205"/>
      <c r="I1" s="205"/>
      <c r="J1" s="205"/>
      <c r="K1" s="205"/>
      <c r="L1" s="205"/>
      <c r="M1" s="205"/>
      <c r="N1" s="205"/>
      <c r="O1" s="205"/>
      <c r="P1" s="205"/>
    </row>
    <row r="2" spans="1:16" ht="9" customHeight="1"/>
    <row r="3" spans="1:16" ht="21" customHeight="1">
      <c r="A3" s="202" t="s">
        <v>342</v>
      </c>
      <c r="B3" s="202"/>
      <c r="C3" s="202"/>
      <c r="D3" s="202"/>
      <c r="E3" s="202"/>
      <c r="F3" s="202"/>
      <c r="G3" s="202" t="s">
        <v>342</v>
      </c>
      <c r="H3" s="202"/>
      <c r="I3" s="202"/>
      <c r="J3" s="202"/>
      <c r="K3" s="202"/>
      <c r="L3" s="202"/>
    </row>
    <row r="4" spans="1:16" ht="6.95" customHeight="1"/>
    <row r="5" spans="1:16" s="32" customFormat="1" ht="19.5" customHeight="1">
      <c r="A5" s="118" t="s">
        <v>71</v>
      </c>
      <c r="B5" s="232" t="s">
        <v>133</v>
      </c>
      <c r="C5" s="232"/>
      <c r="D5" s="122" t="s">
        <v>73</v>
      </c>
      <c r="E5"/>
      <c r="F5"/>
      <c r="G5"/>
      <c r="I5" s="236" t="s">
        <v>332</v>
      </c>
      <c r="J5" s="236"/>
      <c r="K5" s="236"/>
      <c r="L5" s="236"/>
      <c r="M5" s="236"/>
    </row>
    <row r="6" spans="1:16" s="32" customFormat="1" ht="18.600000000000001" customHeight="1">
      <c r="A6" s="125" t="s">
        <v>343</v>
      </c>
      <c r="B6" s="242">
        <v>5</v>
      </c>
      <c r="C6" s="242"/>
      <c r="D6" s="116">
        <v>3</v>
      </c>
    </row>
    <row r="7" spans="1:16" s="19" customFormat="1" ht="18.600000000000001" customHeight="1">
      <c r="A7" s="125" t="s">
        <v>344</v>
      </c>
      <c r="B7" s="242">
        <v>1</v>
      </c>
      <c r="C7" s="242"/>
      <c r="D7" s="116">
        <v>3</v>
      </c>
    </row>
    <row r="8" spans="1:16" s="19" customFormat="1" ht="18.600000000000001" customHeight="1">
      <c r="A8" s="125" t="s">
        <v>345</v>
      </c>
      <c r="B8" s="242">
        <v>1</v>
      </c>
      <c r="C8" s="242"/>
      <c r="D8" s="116">
        <v>3</v>
      </c>
    </row>
    <row r="9" spans="1:16" s="19" customFormat="1" ht="18.600000000000001" customHeight="1">
      <c r="A9" s="125" t="s">
        <v>346</v>
      </c>
      <c r="B9" s="243">
        <v>1</v>
      </c>
      <c r="C9" s="243"/>
      <c r="D9" s="117">
        <v>3</v>
      </c>
    </row>
    <row r="10" spans="1:16">
      <c r="A10" s="133"/>
    </row>
    <row r="11" spans="1:16" ht="15.6">
      <c r="A11" s="123" t="s">
        <v>78</v>
      </c>
      <c r="B11" s="86">
        <f>AVERAGE(B6:B9)</f>
        <v>2</v>
      </c>
      <c r="E11" s="26"/>
      <c r="F11" s="26"/>
    </row>
    <row r="12" spans="1:16" s="33" customFormat="1" ht="13.9">
      <c r="A12" s="123" t="s">
        <v>79</v>
      </c>
      <c r="B12" s="86">
        <f>STDEVP(B6:B9)</f>
        <v>1.7320508075688772</v>
      </c>
    </row>
    <row r="13" spans="1:16" s="33" customFormat="1" ht="13.9">
      <c r="A13" s="123" t="s">
        <v>80</v>
      </c>
      <c r="B13" s="86">
        <f>AVERAGE(D6:D9)/B11</f>
        <v>1.5</v>
      </c>
    </row>
    <row r="14" spans="1:16" s="33" customFormat="1" ht="13.9"/>
    <row r="15" spans="1:16" s="33" customFormat="1" ht="13.9"/>
    <row r="16" spans="1:16" s="33" customFormat="1" ht="13.9"/>
    <row r="17" spans="1:21" s="33" customFormat="1" ht="13.9"/>
    <row r="18" spans="1:21" s="33" customFormat="1" ht="13.9"/>
    <row r="19" spans="1:21" s="33" customFormat="1" ht="13.9"/>
    <row r="20" spans="1:21" s="33" customFormat="1" ht="13.9"/>
    <row r="21" spans="1:21" s="33" customFormat="1" ht="13.9"/>
    <row r="22" spans="1:21" s="33" customFormat="1" ht="13.9"/>
    <row r="23" spans="1:21" s="33" customFormat="1" ht="21.95" customHeight="1">
      <c r="E23" s="109"/>
      <c r="F23" s="110"/>
    </row>
    <row r="24" spans="1:21" s="33" customFormat="1" ht="21.95" customHeight="1">
      <c r="E24" s="109"/>
      <c r="F24" s="110"/>
    </row>
    <row r="25" spans="1:21" s="33" customFormat="1" ht="21.95" customHeight="1">
      <c r="E25" s="109"/>
      <c r="F25" s="110"/>
    </row>
    <row r="26" spans="1:21" s="33" customFormat="1" ht="192.95" customHeight="1">
      <c r="E26" s="109"/>
      <c r="F26" s="110"/>
    </row>
    <row r="27" spans="1:21" s="33" customFormat="1" ht="21.95" customHeight="1">
      <c r="E27" s="109"/>
      <c r="F27" s="110"/>
    </row>
    <row r="28" spans="1:21" s="32" customFormat="1" ht="24.6" customHeight="1">
      <c r="A28" s="207" t="s">
        <v>81</v>
      </c>
      <c r="B28" s="207"/>
      <c r="C28" s="207"/>
      <c r="D28" s="207"/>
      <c r="E28" s="207"/>
      <c r="F28" s="207"/>
      <c r="G28" s="207" t="s">
        <v>81</v>
      </c>
      <c r="H28" s="207"/>
      <c r="I28" s="207"/>
      <c r="J28" s="207"/>
      <c r="K28" s="207"/>
      <c r="L28" s="207"/>
      <c r="M28" s="207"/>
      <c r="N28" s="207"/>
      <c r="O28" s="207"/>
      <c r="P28" s="207"/>
      <c r="Q28"/>
      <c r="R28"/>
      <c r="S28"/>
      <c r="T28"/>
      <c r="U28"/>
    </row>
    <row r="29" spans="1:21" ht="9" customHeight="1"/>
    <row r="30" spans="1:21" s="32" customFormat="1" ht="33" customHeight="1">
      <c r="A30" s="224" t="s">
        <v>147</v>
      </c>
      <c r="B30" s="225"/>
      <c r="C30" s="225"/>
      <c r="D30" s="225"/>
      <c r="E30"/>
      <c r="F30"/>
      <c r="G30"/>
    </row>
    <row r="31" spans="1:21" s="32" customFormat="1" ht="41.45">
      <c r="A31" s="93" t="s">
        <v>83</v>
      </c>
      <c r="B31" s="94" t="s">
        <v>84</v>
      </c>
      <c r="C31" s="94" t="s">
        <v>85</v>
      </c>
      <c r="D31" s="94" t="s">
        <v>86</v>
      </c>
    </row>
    <row r="32" spans="1:21">
      <c r="A32" s="27" t="s">
        <v>91</v>
      </c>
      <c r="B32" s="137">
        <f t="array" ref="B32:B71">MMULT(DF7map!B2:E41,'DF7'!B6:B9)</f>
        <v>12.5</v>
      </c>
      <c r="C32" s="137">
        <f t="array" ref="C32:C71">MMULT(DF7map!B2:E41,'DF7'!D6:D9)</f>
        <v>25.5</v>
      </c>
      <c r="D32" s="129">
        <f t="shared" ref="D32:D71" si="0">IFERROR(MROUND(($B$13*100*B32/C32),5)-100,0)</f>
        <v>-25</v>
      </c>
    </row>
    <row r="33" spans="1:9">
      <c r="A33" s="27" t="s">
        <v>92</v>
      </c>
      <c r="B33" s="137">
        <v>11.5</v>
      </c>
      <c r="C33" s="137">
        <v>22.5</v>
      </c>
      <c r="D33" s="129">
        <f t="shared" si="0"/>
        <v>-25</v>
      </c>
      <c r="I33" s="1"/>
    </row>
    <row r="34" spans="1:9">
      <c r="A34" s="27" t="s">
        <v>93</v>
      </c>
      <c r="B34" s="137">
        <v>12</v>
      </c>
      <c r="C34" s="137">
        <v>24</v>
      </c>
      <c r="D34" s="129">
        <f t="shared" si="0"/>
        <v>-25</v>
      </c>
    </row>
    <row r="35" spans="1:9">
      <c r="A35" s="27" t="s">
        <v>94</v>
      </c>
      <c r="B35" s="137">
        <v>9</v>
      </c>
      <c r="C35" s="137">
        <v>15</v>
      </c>
      <c r="D35" s="129">
        <f t="shared" si="0"/>
        <v>-10</v>
      </c>
    </row>
    <row r="36" spans="1:9">
      <c r="A36" s="27" t="s">
        <v>95</v>
      </c>
      <c r="B36" s="137">
        <v>9</v>
      </c>
      <c r="C36" s="137">
        <v>15</v>
      </c>
      <c r="D36" s="129">
        <f t="shared" si="0"/>
        <v>-10</v>
      </c>
    </row>
    <row r="37" spans="1:9">
      <c r="A37" s="28" t="s">
        <v>96</v>
      </c>
      <c r="B37" s="137">
        <v>10.5</v>
      </c>
      <c r="C37" s="137">
        <v>19.5</v>
      </c>
      <c r="D37" s="129">
        <f t="shared" si="0"/>
        <v>-20</v>
      </c>
    </row>
    <row r="38" spans="1:9">
      <c r="A38" s="28" t="s">
        <v>97</v>
      </c>
      <c r="B38" s="137">
        <v>12</v>
      </c>
      <c r="C38" s="137">
        <v>24</v>
      </c>
      <c r="D38" s="129">
        <f t="shared" si="0"/>
        <v>-25</v>
      </c>
    </row>
    <row r="39" spans="1:9">
      <c r="A39" s="28" t="s">
        <v>98</v>
      </c>
      <c r="B39" s="137">
        <v>10</v>
      </c>
      <c r="C39" s="137">
        <v>18</v>
      </c>
      <c r="D39" s="129">
        <f t="shared" si="0"/>
        <v>-15</v>
      </c>
    </row>
    <row r="40" spans="1:9">
      <c r="A40" s="28" t="s">
        <v>99</v>
      </c>
      <c r="B40" s="137">
        <v>11</v>
      </c>
      <c r="C40" s="137">
        <v>27</v>
      </c>
      <c r="D40" s="129">
        <f t="shared" si="0"/>
        <v>-40</v>
      </c>
    </row>
    <row r="41" spans="1:9">
      <c r="A41" s="28" t="s">
        <v>100</v>
      </c>
      <c r="B41" s="137">
        <v>11.5</v>
      </c>
      <c r="C41" s="137">
        <v>22.5</v>
      </c>
      <c r="D41" s="129">
        <f t="shared" si="0"/>
        <v>-25</v>
      </c>
    </row>
    <row r="42" spans="1:9">
      <c r="A42" s="28" t="s">
        <v>101</v>
      </c>
      <c r="B42" s="137">
        <v>9</v>
      </c>
      <c r="C42" s="137">
        <v>15</v>
      </c>
      <c r="D42" s="129">
        <f t="shared" si="0"/>
        <v>-10</v>
      </c>
    </row>
    <row r="43" spans="1:9">
      <c r="A43" s="28" t="s">
        <v>102</v>
      </c>
      <c r="B43" s="137">
        <v>8.5</v>
      </c>
      <c r="C43" s="137">
        <v>13.5</v>
      </c>
      <c r="D43" s="129">
        <f t="shared" si="0"/>
        <v>-5</v>
      </c>
    </row>
    <row r="44" spans="1:9">
      <c r="A44" s="28" t="s">
        <v>103</v>
      </c>
      <c r="B44" s="137">
        <v>10.5</v>
      </c>
      <c r="C44" s="137">
        <v>19.5</v>
      </c>
      <c r="D44" s="129">
        <f t="shared" si="0"/>
        <v>-20</v>
      </c>
    </row>
    <row r="45" spans="1:9">
      <c r="A45" s="28" t="s">
        <v>104</v>
      </c>
      <c r="B45" s="137">
        <v>10.5</v>
      </c>
      <c r="C45" s="137">
        <v>19.5</v>
      </c>
      <c r="D45" s="129">
        <f t="shared" si="0"/>
        <v>-20</v>
      </c>
    </row>
    <row r="46" spans="1:9">
      <c r="A46" s="28" t="s">
        <v>105</v>
      </c>
      <c r="B46" s="137">
        <v>11</v>
      </c>
      <c r="C46" s="137">
        <v>21</v>
      </c>
      <c r="D46" s="129">
        <f t="shared" si="0"/>
        <v>-20</v>
      </c>
    </row>
    <row r="47" spans="1:9">
      <c r="A47" s="28" t="s">
        <v>106</v>
      </c>
      <c r="B47" s="137">
        <v>10</v>
      </c>
      <c r="C47" s="137">
        <v>18</v>
      </c>
      <c r="D47" s="129">
        <f t="shared" si="0"/>
        <v>-15</v>
      </c>
    </row>
    <row r="48" spans="1:9">
      <c r="A48" s="28" t="s">
        <v>107</v>
      </c>
      <c r="B48" s="137">
        <v>11.5</v>
      </c>
      <c r="C48" s="137">
        <v>22.5</v>
      </c>
      <c r="D48" s="129">
        <f t="shared" si="0"/>
        <v>-25</v>
      </c>
    </row>
    <row r="49" spans="1:4">
      <c r="A49" s="28" t="s">
        <v>108</v>
      </c>
      <c r="B49" s="137">
        <v>11.5</v>
      </c>
      <c r="C49" s="137">
        <v>22.5</v>
      </c>
      <c r="D49" s="129">
        <f t="shared" si="0"/>
        <v>-25</v>
      </c>
    </row>
    <row r="50" spans="1:4">
      <c r="A50" s="28" t="s">
        <v>109</v>
      </c>
      <c r="B50" s="137">
        <v>10.5</v>
      </c>
      <c r="C50" s="137">
        <v>19.5</v>
      </c>
      <c r="D50" s="129">
        <f t="shared" si="0"/>
        <v>-20</v>
      </c>
    </row>
    <row r="51" spans="1:4">
      <c r="A51" s="27" t="s">
        <v>110</v>
      </c>
      <c r="B51" s="137">
        <v>10.5</v>
      </c>
      <c r="C51" s="137">
        <v>19.5</v>
      </c>
      <c r="D51" s="129">
        <f t="shared" si="0"/>
        <v>-20</v>
      </c>
    </row>
    <row r="52" spans="1:4">
      <c r="A52" s="27" t="s">
        <v>111</v>
      </c>
      <c r="B52" s="137">
        <v>12</v>
      </c>
      <c r="C52" s="137">
        <v>24</v>
      </c>
      <c r="D52" s="129">
        <f t="shared" si="0"/>
        <v>-25</v>
      </c>
    </row>
    <row r="53" spans="1:4">
      <c r="A53" s="27" t="s">
        <v>112</v>
      </c>
      <c r="B53" s="137">
        <v>12</v>
      </c>
      <c r="C53" s="137">
        <v>24</v>
      </c>
      <c r="D53" s="129">
        <f t="shared" si="0"/>
        <v>-25</v>
      </c>
    </row>
    <row r="54" spans="1:4">
      <c r="A54" s="27" t="s">
        <v>113</v>
      </c>
      <c r="B54" s="137">
        <v>11</v>
      </c>
      <c r="C54" s="137">
        <v>21</v>
      </c>
      <c r="D54" s="129">
        <f t="shared" si="0"/>
        <v>-20</v>
      </c>
    </row>
    <row r="55" spans="1:4">
      <c r="A55" s="27" t="s">
        <v>114</v>
      </c>
      <c r="B55" s="137">
        <v>9</v>
      </c>
      <c r="C55" s="137">
        <v>15</v>
      </c>
      <c r="D55" s="129">
        <f t="shared" si="0"/>
        <v>-10</v>
      </c>
    </row>
    <row r="56" spans="1:4">
      <c r="A56" s="27" t="s">
        <v>115</v>
      </c>
      <c r="B56" s="137">
        <v>10.5</v>
      </c>
      <c r="C56" s="137">
        <v>19.5</v>
      </c>
      <c r="D56" s="129">
        <f t="shared" si="0"/>
        <v>-20</v>
      </c>
    </row>
    <row r="57" spans="1:4">
      <c r="A57" s="27" t="s">
        <v>116</v>
      </c>
      <c r="B57" s="137">
        <v>10</v>
      </c>
      <c r="C57" s="137">
        <v>18</v>
      </c>
      <c r="D57" s="129">
        <f t="shared" si="0"/>
        <v>-15</v>
      </c>
    </row>
    <row r="58" spans="1:4">
      <c r="A58" s="27" t="s">
        <v>117</v>
      </c>
      <c r="B58" s="137">
        <v>9</v>
      </c>
      <c r="C58" s="137">
        <v>15</v>
      </c>
      <c r="D58" s="129">
        <f t="shared" si="0"/>
        <v>-10</v>
      </c>
    </row>
    <row r="59" spans="1:4">
      <c r="A59" s="27" t="s">
        <v>118</v>
      </c>
      <c r="B59" s="137">
        <v>9</v>
      </c>
      <c r="C59" s="137">
        <v>15</v>
      </c>
      <c r="D59" s="129">
        <f t="shared" si="0"/>
        <v>-10</v>
      </c>
    </row>
    <row r="60" spans="1:4">
      <c r="A60" s="27" t="s">
        <v>119</v>
      </c>
      <c r="B60" s="137">
        <v>9.5</v>
      </c>
      <c r="C60" s="137">
        <v>16.5</v>
      </c>
      <c r="D60" s="129">
        <f t="shared" si="0"/>
        <v>-15</v>
      </c>
    </row>
    <row r="61" spans="1:4">
      <c r="A61" s="27" t="s">
        <v>120</v>
      </c>
      <c r="B61" s="137">
        <v>10</v>
      </c>
      <c r="C61" s="137">
        <v>18</v>
      </c>
      <c r="D61" s="129">
        <f t="shared" si="0"/>
        <v>-15</v>
      </c>
    </row>
    <row r="62" spans="1:4">
      <c r="A62" s="28" t="s">
        <v>121</v>
      </c>
      <c r="B62" s="137">
        <v>12.5</v>
      </c>
      <c r="C62" s="137">
        <v>25.5</v>
      </c>
      <c r="D62" s="129">
        <f t="shared" si="0"/>
        <v>-25</v>
      </c>
    </row>
    <row r="63" spans="1:4">
      <c r="A63" s="28" t="s">
        <v>122</v>
      </c>
      <c r="B63" s="137">
        <v>12.5</v>
      </c>
      <c r="C63" s="137">
        <v>25.5</v>
      </c>
      <c r="D63" s="129">
        <f t="shared" si="0"/>
        <v>-25</v>
      </c>
    </row>
    <row r="64" spans="1:4">
      <c r="A64" s="28" t="s">
        <v>123</v>
      </c>
      <c r="B64" s="137">
        <v>13</v>
      </c>
      <c r="C64" s="137">
        <v>27</v>
      </c>
      <c r="D64" s="129">
        <f t="shared" si="0"/>
        <v>-30</v>
      </c>
    </row>
    <row r="65" spans="1:4">
      <c r="A65" s="28" t="s">
        <v>124</v>
      </c>
      <c r="B65" s="137">
        <v>13</v>
      </c>
      <c r="C65" s="137">
        <v>27</v>
      </c>
      <c r="D65" s="129">
        <f t="shared" si="0"/>
        <v>-30</v>
      </c>
    </row>
    <row r="66" spans="1:4">
      <c r="A66" s="28" t="s">
        <v>125</v>
      </c>
      <c r="B66" s="137">
        <v>15</v>
      </c>
      <c r="C66" s="137">
        <v>27</v>
      </c>
      <c r="D66" s="129">
        <f t="shared" si="0"/>
        <v>-15</v>
      </c>
    </row>
    <row r="67" spans="1:4">
      <c r="A67" s="28" t="s">
        <v>126</v>
      </c>
      <c r="B67" s="137">
        <v>9.5</v>
      </c>
      <c r="C67" s="137">
        <v>16.5</v>
      </c>
      <c r="D67" s="129">
        <f t="shared" si="0"/>
        <v>-15</v>
      </c>
    </row>
    <row r="68" spans="1:4">
      <c r="A68" s="27" t="s">
        <v>127</v>
      </c>
      <c r="B68" s="137">
        <v>9</v>
      </c>
      <c r="C68" s="137">
        <v>15</v>
      </c>
      <c r="D68" s="129">
        <f t="shared" si="0"/>
        <v>-10</v>
      </c>
    </row>
    <row r="69" spans="1:4">
      <c r="A69" s="27" t="s">
        <v>128</v>
      </c>
      <c r="B69" s="137">
        <v>9</v>
      </c>
      <c r="C69" s="137">
        <v>15</v>
      </c>
      <c r="D69" s="129">
        <f t="shared" si="0"/>
        <v>-10</v>
      </c>
    </row>
    <row r="70" spans="1:4">
      <c r="A70" s="27" t="s">
        <v>129</v>
      </c>
      <c r="B70" s="137">
        <v>8.5</v>
      </c>
      <c r="C70" s="137">
        <v>13.5</v>
      </c>
      <c r="D70" s="129">
        <f t="shared" si="0"/>
        <v>-5</v>
      </c>
    </row>
    <row r="71" spans="1:4">
      <c r="A71" s="27" t="s">
        <v>130</v>
      </c>
      <c r="B71" s="137">
        <v>9</v>
      </c>
      <c r="C71" s="137">
        <v>15</v>
      </c>
      <c r="D71" s="129">
        <f t="shared" si="0"/>
        <v>-10</v>
      </c>
    </row>
  </sheetData>
  <sheetProtection algorithmName="SHA-512" hashValue="WYx7/puuJiq4DkyxE5TdDo+FkcZXN03n4VZdqKyEu2ls5uEqemoqiRwvzzeEak08C+oWz/kaZMgv7FmfTc7j+A==" saltValue="jC5cfnQWYmtrTg60DnKH1A==" spinCount="100000" sheet="1" objects="1" scenarios="1"/>
  <mergeCells count="13">
    <mergeCell ref="G28:P28"/>
    <mergeCell ref="A30:D30"/>
    <mergeCell ref="B5:C5"/>
    <mergeCell ref="B6:C6"/>
    <mergeCell ref="B7:C7"/>
    <mergeCell ref="B8:C8"/>
    <mergeCell ref="B9:C9"/>
    <mergeCell ref="A28:F28"/>
    <mergeCell ref="A1:F1"/>
    <mergeCell ref="G1:P1"/>
    <mergeCell ref="I5:M5"/>
    <mergeCell ref="A3:F3"/>
    <mergeCell ref="G3:L3"/>
  </mergeCells>
  <pageMargins left="0.25" right="0.25" top="0.75" bottom="0.75" header="0.3" footer="0.3"/>
  <pageSetup paperSize="5" scale="90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26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5F9E-499A-4DA1-8C0A-2B141A7DEBD1}">
  <sheetPr>
    <tabColor theme="8" tint="-0.499984740745262"/>
    <pageSetUpPr fitToPage="1"/>
  </sheetPr>
  <dimension ref="A1:E41"/>
  <sheetViews>
    <sheetView showGridLines="0" zoomScale="85" zoomScaleNormal="85" workbookViewId="0">
      <pane ySplit="1" topLeftCell="A2" activePane="bottomLeft" state="frozen"/>
      <selection pane="bottomLeft" activeCell="A2" sqref="A2"/>
      <selection activeCell="A9" sqref="A9:B9"/>
    </sheetView>
  </sheetViews>
  <sheetFormatPr defaultRowHeight="14.45"/>
  <cols>
    <col min="2" max="5" width="13.85546875" style="1" customWidth="1"/>
  </cols>
  <sheetData>
    <row r="1" spans="1:5" ht="21">
      <c r="A1" s="42" t="s">
        <v>347</v>
      </c>
      <c r="B1" s="40" t="s">
        <v>343</v>
      </c>
      <c r="C1" s="40" t="s">
        <v>344</v>
      </c>
      <c r="D1" s="40" t="s">
        <v>345</v>
      </c>
      <c r="E1" s="40" t="s">
        <v>346</v>
      </c>
    </row>
    <row r="2" spans="1:5">
      <c r="A2" s="38" t="s">
        <v>91</v>
      </c>
      <c r="B2" s="48">
        <v>1</v>
      </c>
      <c r="C2" s="48">
        <v>2</v>
      </c>
      <c r="D2" s="48">
        <v>1.5</v>
      </c>
      <c r="E2" s="48">
        <v>4</v>
      </c>
    </row>
    <row r="3" spans="1:5">
      <c r="A3" s="38" t="s">
        <v>92</v>
      </c>
      <c r="B3" s="48">
        <v>1</v>
      </c>
      <c r="C3" s="48">
        <v>1</v>
      </c>
      <c r="D3" s="48">
        <v>2.5</v>
      </c>
      <c r="E3" s="48">
        <v>3</v>
      </c>
    </row>
    <row r="4" spans="1:5">
      <c r="A4" s="38" t="s">
        <v>93</v>
      </c>
      <c r="B4" s="48">
        <v>1</v>
      </c>
      <c r="C4" s="48">
        <v>3</v>
      </c>
      <c r="D4" s="48">
        <v>1</v>
      </c>
      <c r="E4" s="48">
        <v>3</v>
      </c>
    </row>
    <row r="5" spans="1:5">
      <c r="A5" s="38" t="s">
        <v>94</v>
      </c>
      <c r="B5" s="48">
        <v>1</v>
      </c>
      <c r="C5" s="48">
        <v>1</v>
      </c>
      <c r="D5" s="48">
        <v>1</v>
      </c>
      <c r="E5" s="48">
        <v>2</v>
      </c>
    </row>
    <row r="6" spans="1:5">
      <c r="A6" s="38" t="s">
        <v>95</v>
      </c>
      <c r="B6" s="48">
        <v>1</v>
      </c>
      <c r="C6" s="48">
        <v>1</v>
      </c>
      <c r="D6" s="48">
        <v>1</v>
      </c>
      <c r="E6" s="48">
        <v>2</v>
      </c>
    </row>
    <row r="7" spans="1:5">
      <c r="A7" s="39" t="s">
        <v>96</v>
      </c>
      <c r="B7" s="48">
        <v>1</v>
      </c>
      <c r="C7" s="48">
        <v>1.5</v>
      </c>
      <c r="D7" s="48">
        <v>1.5</v>
      </c>
      <c r="E7" s="48">
        <v>2.5</v>
      </c>
    </row>
    <row r="8" spans="1:5">
      <c r="A8" s="39" t="s">
        <v>97</v>
      </c>
      <c r="B8" s="48">
        <v>1</v>
      </c>
      <c r="C8" s="48">
        <v>1</v>
      </c>
      <c r="D8" s="48">
        <v>3</v>
      </c>
      <c r="E8" s="48">
        <v>3</v>
      </c>
    </row>
    <row r="9" spans="1:5">
      <c r="A9" s="39" t="s">
        <v>98</v>
      </c>
      <c r="B9" s="48">
        <v>1</v>
      </c>
      <c r="C9" s="48">
        <v>1</v>
      </c>
      <c r="D9" s="48">
        <v>2</v>
      </c>
      <c r="E9" s="48">
        <v>2</v>
      </c>
    </row>
    <row r="10" spans="1:5">
      <c r="A10" s="39" t="s">
        <v>99</v>
      </c>
      <c r="B10" s="149">
        <v>0.5</v>
      </c>
      <c r="C10" s="48">
        <v>1</v>
      </c>
      <c r="D10" s="48">
        <v>3.5</v>
      </c>
      <c r="E10" s="48">
        <v>4</v>
      </c>
    </row>
    <row r="11" spans="1:5">
      <c r="A11" s="39" t="s">
        <v>100</v>
      </c>
      <c r="B11" s="48">
        <v>1</v>
      </c>
      <c r="C11" s="48">
        <v>1</v>
      </c>
      <c r="D11" s="48">
        <v>2.5</v>
      </c>
      <c r="E11" s="48">
        <v>3</v>
      </c>
    </row>
    <row r="12" spans="1:5">
      <c r="A12" s="39" t="s">
        <v>101</v>
      </c>
      <c r="B12" s="48">
        <v>1</v>
      </c>
      <c r="C12" s="48">
        <v>1</v>
      </c>
      <c r="D12" s="48">
        <v>1</v>
      </c>
      <c r="E12" s="48">
        <v>2</v>
      </c>
    </row>
    <row r="13" spans="1:5">
      <c r="A13" s="39" t="s">
        <v>102</v>
      </c>
      <c r="B13" s="48">
        <v>1</v>
      </c>
      <c r="C13" s="48">
        <v>1</v>
      </c>
      <c r="D13" s="48">
        <v>1</v>
      </c>
      <c r="E13" s="48">
        <v>1.5</v>
      </c>
    </row>
    <row r="14" spans="1:5">
      <c r="A14" s="39" t="s">
        <v>103</v>
      </c>
      <c r="B14" s="48">
        <v>1</v>
      </c>
      <c r="C14" s="48">
        <v>1</v>
      </c>
      <c r="D14" s="48">
        <v>2</v>
      </c>
      <c r="E14" s="48">
        <v>2.5</v>
      </c>
    </row>
    <row r="15" spans="1:5">
      <c r="A15" s="39" t="s">
        <v>104</v>
      </c>
      <c r="B15" s="48">
        <v>1</v>
      </c>
      <c r="C15" s="48">
        <v>2</v>
      </c>
      <c r="D15" s="48">
        <v>1.5</v>
      </c>
      <c r="E15" s="48">
        <v>2</v>
      </c>
    </row>
    <row r="16" spans="1:5">
      <c r="A16" s="39" t="s">
        <v>105</v>
      </c>
      <c r="B16" s="48">
        <v>1</v>
      </c>
      <c r="C16" s="48">
        <v>2.5</v>
      </c>
      <c r="D16" s="48">
        <v>1.5</v>
      </c>
      <c r="E16" s="48">
        <v>2</v>
      </c>
    </row>
    <row r="17" spans="1:5">
      <c r="A17" s="39" t="s">
        <v>106</v>
      </c>
      <c r="B17" s="48">
        <v>1</v>
      </c>
      <c r="C17" s="48">
        <v>1.5</v>
      </c>
      <c r="D17" s="48">
        <v>1.5</v>
      </c>
      <c r="E17" s="48">
        <v>2</v>
      </c>
    </row>
    <row r="18" spans="1:5">
      <c r="A18" s="39" t="s">
        <v>107</v>
      </c>
      <c r="B18" s="48">
        <v>1</v>
      </c>
      <c r="C18" s="48">
        <v>2.5</v>
      </c>
      <c r="D18" s="48">
        <v>1</v>
      </c>
      <c r="E18" s="48">
        <v>3</v>
      </c>
    </row>
    <row r="19" spans="1:5">
      <c r="A19" s="39" t="s">
        <v>108</v>
      </c>
      <c r="B19" s="48">
        <v>1</v>
      </c>
      <c r="C19" s="48">
        <v>2</v>
      </c>
      <c r="D19" s="48">
        <v>1.5</v>
      </c>
      <c r="E19" s="48">
        <v>3</v>
      </c>
    </row>
    <row r="20" spans="1:5">
      <c r="A20" s="39" t="s">
        <v>109</v>
      </c>
      <c r="B20" s="48">
        <v>1</v>
      </c>
      <c r="C20" s="48">
        <v>1.5</v>
      </c>
      <c r="D20" s="48">
        <v>1.5</v>
      </c>
      <c r="E20" s="48">
        <v>2.5</v>
      </c>
    </row>
    <row r="21" spans="1:5">
      <c r="A21" s="38" t="s">
        <v>110</v>
      </c>
      <c r="B21" s="48">
        <v>1</v>
      </c>
      <c r="C21" s="48">
        <v>1</v>
      </c>
      <c r="D21" s="48">
        <v>2</v>
      </c>
      <c r="E21" s="48">
        <v>2.5</v>
      </c>
    </row>
    <row r="22" spans="1:5">
      <c r="A22" s="38" t="s">
        <v>111</v>
      </c>
      <c r="B22" s="48">
        <v>1</v>
      </c>
      <c r="C22" s="48">
        <v>1</v>
      </c>
      <c r="D22" s="48">
        <v>3</v>
      </c>
      <c r="E22" s="48">
        <v>3</v>
      </c>
    </row>
    <row r="23" spans="1:5">
      <c r="A23" s="38" t="s">
        <v>112</v>
      </c>
      <c r="B23" s="48">
        <v>1</v>
      </c>
      <c r="C23" s="48">
        <v>1</v>
      </c>
      <c r="D23" s="48">
        <v>3</v>
      </c>
      <c r="E23" s="48">
        <v>3</v>
      </c>
    </row>
    <row r="24" spans="1:5">
      <c r="A24" s="38" t="s">
        <v>113</v>
      </c>
      <c r="B24" s="48">
        <v>1</v>
      </c>
      <c r="C24" s="48">
        <v>2.5</v>
      </c>
      <c r="D24" s="48">
        <v>1.5</v>
      </c>
      <c r="E24" s="48">
        <v>2</v>
      </c>
    </row>
    <row r="25" spans="1:5">
      <c r="A25" s="38" t="s">
        <v>114</v>
      </c>
      <c r="B25" s="48">
        <v>1</v>
      </c>
      <c r="C25" s="48">
        <v>1</v>
      </c>
      <c r="D25" s="48">
        <v>1</v>
      </c>
      <c r="E25" s="48">
        <v>2</v>
      </c>
    </row>
    <row r="26" spans="1:5">
      <c r="A26" s="38" t="s">
        <v>115</v>
      </c>
      <c r="B26" s="48">
        <v>1</v>
      </c>
      <c r="C26" s="48">
        <v>2.5</v>
      </c>
      <c r="D26" s="48">
        <v>1</v>
      </c>
      <c r="E26" s="48">
        <v>2</v>
      </c>
    </row>
    <row r="27" spans="1:5">
      <c r="A27" s="38" t="s">
        <v>116</v>
      </c>
      <c r="B27" s="48">
        <v>1</v>
      </c>
      <c r="C27" s="48">
        <v>1</v>
      </c>
      <c r="D27" s="48">
        <v>2</v>
      </c>
      <c r="E27" s="48">
        <v>2</v>
      </c>
    </row>
    <row r="28" spans="1:5">
      <c r="A28" s="38" t="s">
        <v>117</v>
      </c>
      <c r="B28" s="48">
        <v>1</v>
      </c>
      <c r="C28" s="48">
        <v>1</v>
      </c>
      <c r="D28" s="48">
        <v>1</v>
      </c>
      <c r="E28" s="48">
        <v>2</v>
      </c>
    </row>
    <row r="29" spans="1:5">
      <c r="A29" s="38" t="s">
        <v>118</v>
      </c>
      <c r="B29" s="48">
        <v>1</v>
      </c>
      <c r="C29" s="48">
        <v>1</v>
      </c>
      <c r="D29" s="48">
        <v>1</v>
      </c>
      <c r="E29" s="48">
        <v>2</v>
      </c>
    </row>
    <row r="30" spans="1:5">
      <c r="A30" s="38" t="s">
        <v>119</v>
      </c>
      <c r="B30" s="48">
        <v>1</v>
      </c>
      <c r="C30" s="48">
        <v>1.5</v>
      </c>
      <c r="D30" s="48">
        <v>1</v>
      </c>
      <c r="E30" s="48">
        <v>2</v>
      </c>
    </row>
    <row r="31" spans="1:5">
      <c r="A31" s="38" t="s">
        <v>120</v>
      </c>
      <c r="B31" s="48">
        <v>1</v>
      </c>
      <c r="C31" s="48">
        <v>1</v>
      </c>
      <c r="D31" s="48">
        <v>2</v>
      </c>
      <c r="E31" s="48">
        <v>2</v>
      </c>
    </row>
    <row r="32" spans="1:5">
      <c r="A32" s="39" t="s">
        <v>121</v>
      </c>
      <c r="B32" s="48">
        <v>1</v>
      </c>
      <c r="C32" s="48">
        <v>3.5</v>
      </c>
      <c r="D32" s="48">
        <v>1</v>
      </c>
      <c r="E32" s="48">
        <v>3</v>
      </c>
    </row>
    <row r="33" spans="1:5">
      <c r="A33" s="39" t="s">
        <v>122</v>
      </c>
      <c r="B33" s="48">
        <v>1</v>
      </c>
      <c r="C33" s="48">
        <v>3</v>
      </c>
      <c r="D33" s="48">
        <v>1.5</v>
      </c>
      <c r="E33" s="48">
        <v>3</v>
      </c>
    </row>
    <row r="34" spans="1:5">
      <c r="A34" s="39" t="s">
        <v>123</v>
      </c>
      <c r="B34" s="48">
        <v>1</v>
      </c>
      <c r="C34" s="48">
        <v>3</v>
      </c>
      <c r="D34" s="48">
        <v>1.5</v>
      </c>
      <c r="E34" s="48">
        <v>3.5</v>
      </c>
    </row>
    <row r="35" spans="1:5">
      <c r="A35" s="39" t="s">
        <v>124</v>
      </c>
      <c r="B35" s="48">
        <v>1</v>
      </c>
      <c r="C35" s="48">
        <v>3</v>
      </c>
      <c r="D35" s="48">
        <v>1.5</v>
      </c>
      <c r="E35" s="48">
        <v>3.5</v>
      </c>
    </row>
    <row r="36" spans="1:5">
      <c r="A36" s="39" t="s">
        <v>125</v>
      </c>
      <c r="B36" s="48">
        <v>1.5</v>
      </c>
      <c r="C36" s="48">
        <v>2.5</v>
      </c>
      <c r="D36" s="48">
        <v>1.5</v>
      </c>
      <c r="E36" s="48">
        <v>3.5</v>
      </c>
    </row>
    <row r="37" spans="1:5">
      <c r="A37" s="39" t="s">
        <v>126</v>
      </c>
      <c r="B37" s="48">
        <v>1</v>
      </c>
      <c r="C37" s="48">
        <v>1</v>
      </c>
      <c r="D37" s="48">
        <v>1</v>
      </c>
      <c r="E37" s="48">
        <v>2.5</v>
      </c>
    </row>
    <row r="38" spans="1:5">
      <c r="A38" s="38" t="s">
        <v>127</v>
      </c>
      <c r="B38" s="48">
        <v>1</v>
      </c>
      <c r="C38" s="48">
        <v>1</v>
      </c>
      <c r="D38" s="48">
        <v>1</v>
      </c>
      <c r="E38" s="48">
        <v>2</v>
      </c>
    </row>
    <row r="39" spans="1:5">
      <c r="A39" s="38" t="s">
        <v>128</v>
      </c>
      <c r="B39" s="48">
        <v>1</v>
      </c>
      <c r="C39" s="48">
        <v>1</v>
      </c>
      <c r="D39" s="48">
        <v>1</v>
      </c>
      <c r="E39" s="48">
        <v>2</v>
      </c>
    </row>
    <row r="40" spans="1:5">
      <c r="A40" s="38" t="s">
        <v>129</v>
      </c>
      <c r="B40" s="48">
        <v>1</v>
      </c>
      <c r="C40" s="48">
        <v>1</v>
      </c>
      <c r="D40" s="48">
        <v>1</v>
      </c>
      <c r="E40" s="48">
        <v>1.5</v>
      </c>
    </row>
    <row r="41" spans="1:5">
      <c r="A41" s="38" t="s">
        <v>130</v>
      </c>
      <c r="B41" s="48">
        <v>1</v>
      </c>
      <c r="C41" s="48">
        <v>1</v>
      </c>
      <c r="D41" s="48">
        <v>1</v>
      </c>
      <c r="E41" s="48">
        <v>2</v>
      </c>
    </row>
  </sheetData>
  <sheetProtection algorithmName="SHA-512" hashValue="biRHGvpP0PS/+n4nBY8RyRripq8vgDtrhe0gzy90vIzte3P/Kv52Reps/435qn+L8mCiE/lTh1RR0QruWPnRYg==" saltValue="clWEcWz6IIQUIp9lDdB7Hw==" spinCount="100000" sheet="1" objects="1" scenarios="1" selectLockedCells="1" selectUnlockedCells="1"/>
  <conditionalFormatting sqref="B2:E41">
    <cfRule type="cellIs" dxfId="12" priority="1" stopIfTrue="1" operator="greaterThanOrEqual">
      <formula>3</formula>
    </cfRule>
    <cfRule type="cellIs" dxfId="11" priority="2" stopIfTrue="1" operator="greaterThanOrEqual">
      <formula>2</formula>
    </cfRule>
    <cfRule type="cellIs" dxfId="10" priority="3" operator="greaterThanOrEqual">
      <formula>1</formula>
    </cfRule>
  </conditionalFormatting>
  <pageMargins left="0.25" right="0.25" top="0.75" bottom="0.75" header="0.3" footer="0.3"/>
  <pageSetup paperSize="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7031-3E78-45A5-AC13-74F398CFABBD}">
  <sheetPr>
    <tabColor theme="9" tint="-0.499984740745262"/>
    <pageSetUpPr fitToPage="1"/>
  </sheetPr>
  <dimension ref="A1:U71"/>
  <sheetViews>
    <sheetView showGridLines="0" zoomScale="85" zoomScaleNormal="85" workbookViewId="0">
      <pane ySplit="2" topLeftCell="A3" activePane="bottomLeft" state="frozen"/>
      <selection pane="bottomLeft" activeCell="B7" sqref="B7:C7"/>
      <selection activeCell="A9" sqref="A9:B9"/>
    </sheetView>
  </sheetViews>
  <sheetFormatPr defaultRowHeight="14.45"/>
  <cols>
    <col min="1" max="1" width="11.5703125" customWidth="1"/>
    <col min="2" max="2" width="8.85546875" customWidth="1"/>
    <col min="3" max="3" width="9.140625" customWidth="1"/>
    <col min="4" max="4" width="11.5703125" customWidth="1"/>
    <col min="5" max="5" width="28.85546875" customWidth="1"/>
    <col min="6" max="6" width="26.5703125" customWidth="1"/>
    <col min="7" max="7" width="17.5703125" customWidth="1"/>
  </cols>
  <sheetData>
    <row r="1" spans="1:16" s="19" customFormat="1" ht="29.45" customHeight="1">
      <c r="A1" s="204" t="s">
        <v>348</v>
      </c>
      <c r="B1" s="205"/>
      <c r="C1" s="205"/>
      <c r="D1" s="205"/>
      <c r="E1" s="205"/>
      <c r="F1" s="205"/>
      <c r="G1" s="204" t="s">
        <v>349</v>
      </c>
      <c r="H1" s="205"/>
      <c r="I1" s="205"/>
      <c r="J1" s="205"/>
      <c r="K1" s="205"/>
      <c r="L1" s="205"/>
      <c r="M1" s="205"/>
      <c r="N1" s="205"/>
      <c r="O1" s="205"/>
      <c r="P1" s="205"/>
    </row>
    <row r="2" spans="1:16" ht="12.75" customHeight="1"/>
    <row r="3" spans="1:16" ht="21" customHeight="1">
      <c r="A3" s="202" t="s">
        <v>350</v>
      </c>
      <c r="B3" s="202"/>
      <c r="C3" s="202"/>
      <c r="D3" s="202"/>
      <c r="E3" s="202"/>
      <c r="F3" s="202"/>
      <c r="G3" s="202" t="s">
        <v>350</v>
      </c>
      <c r="H3" s="202"/>
      <c r="I3" s="202"/>
      <c r="J3" s="202"/>
      <c r="K3" s="202"/>
      <c r="L3" s="202"/>
      <c r="M3" s="202"/>
      <c r="N3" s="202"/>
      <c r="O3" s="202"/>
      <c r="P3" s="202"/>
    </row>
    <row r="4" spans="1:16" ht="11.1" customHeight="1"/>
    <row r="5" spans="1:16" ht="20.100000000000001" customHeight="1">
      <c r="A5" s="118" t="s">
        <v>71</v>
      </c>
      <c r="B5" s="232" t="s">
        <v>331</v>
      </c>
      <c r="C5" s="232"/>
      <c r="D5" s="122" t="s">
        <v>73</v>
      </c>
    </row>
    <row r="6" spans="1:16" ht="20.100000000000001" customHeight="1">
      <c r="A6" s="124" t="s">
        <v>351</v>
      </c>
      <c r="B6" s="244">
        <v>0.2</v>
      </c>
      <c r="C6" s="245"/>
      <c r="D6" s="126">
        <v>0.33</v>
      </c>
      <c r="I6" s="236" t="s">
        <v>332</v>
      </c>
      <c r="J6" s="236"/>
      <c r="K6" s="236"/>
      <c r="L6" s="236"/>
      <c r="M6" s="236"/>
    </row>
    <row r="7" spans="1:16" s="32" customFormat="1" ht="20.100000000000001" customHeight="1">
      <c r="A7" s="124" t="s">
        <v>352</v>
      </c>
      <c r="B7" s="244">
        <v>0.1</v>
      </c>
      <c r="C7" s="245"/>
      <c r="D7" s="126">
        <v>0.33</v>
      </c>
      <c r="E7"/>
      <c r="F7"/>
      <c r="G7"/>
    </row>
    <row r="8" spans="1:16" s="32" customFormat="1" ht="20.100000000000001" customHeight="1">
      <c r="A8" s="124" t="s">
        <v>353</v>
      </c>
      <c r="B8" s="246">
        <v>0.7</v>
      </c>
      <c r="C8" s="247"/>
      <c r="D8" s="127">
        <v>0.34</v>
      </c>
    </row>
    <row r="9" spans="1:16">
      <c r="A9" s="136"/>
      <c r="B9" s="136"/>
      <c r="C9" s="134"/>
      <c r="D9" s="134"/>
    </row>
    <row r="10" spans="1:16">
      <c r="A10" s="123" t="s">
        <v>78</v>
      </c>
      <c r="B10" s="86"/>
      <c r="C10" s="114"/>
      <c r="D10" s="25"/>
    </row>
    <row r="11" spans="1:16">
      <c r="A11" s="123" t="s">
        <v>79</v>
      </c>
      <c r="B11" s="86"/>
      <c r="C11" s="114"/>
      <c r="D11" s="25"/>
    </row>
    <row r="12" spans="1:16" ht="15.6">
      <c r="A12" s="123" t="s">
        <v>80</v>
      </c>
      <c r="B12" s="86">
        <v>1</v>
      </c>
      <c r="E12" s="26"/>
      <c r="F12" s="26"/>
    </row>
    <row r="13" spans="1:16" s="33" customFormat="1" ht="77.45" customHeight="1"/>
    <row r="14" spans="1:16" s="33" customFormat="1" ht="13.9"/>
    <row r="15" spans="1:16" s="33" customFormat="1" ht="93.6" customHeight="1"/>
    <row r="16" spans="1:16" s="33" customFormat="1" ht="13.9">
      <c r="E16" s="109"/>
      <c r="F16" s="110"/>
    </row>
    <row r="17" spans="1:21" s="33" customFormat="1" ht="13.9">
      <c r="E17" s="109"/>
      <c r="F17" s="110"/>
    </row>
    <row r="18" spans="1:21" s="33" customFormat="1" ht="13.9">
      <c r="E18" s="109"/>
      <c r="F18" s="110"/>
    </row>
    <row r="19" spans="1:21" s="33" customFormat="1" ht="13.9">
      <c r="E19" s="109"/>
      <c r="F19" s="110"/>
    </row>
    <row r="20" spans="1:21" s="33" customFormat="1" ht="13.9">
      <c r="E20" s="109"/>
      <c r="F20" s="110"/>
    </row>
    <row r="21" spans="1:21" s="33" customFormat="1" ht="13.9">
      <c r="E21" s="109"/>
      <c r="F21" s="110"/>
    </row>
    <row r="22" spans="1:21" s="33" customFormat="1" ht="13.9">
      <c r="E22" s="109"/>
      <c r="F22" s="110"/>
    </row>
    <row r="23" spans="1:21" s="33" customFormat="1" ht="13.9">
      <c r="E23" s="109"/>
      <c r="F23" s="110"/>
    </row>
    <row r="24" spans="1:21" s="33" customFormat="1" ht="61.5" customHeight="1">
      <c r="E24" s="109"/>
      <c r="F24" s="110"/>
    </row>
    <row r="25" spans="1:21" s="33" customFormat="1" ht="13.9">
      <c r="E25" s="109"/>
      <c r="F25" s="110"/>
    </row>
    <row r="26" spans="1:21" s="33" customFormat="1" ht="13.9">
      <c r="E26" s="109"/>
      <c r="F26" s="110"/>
    </row>
    <row r="27" spans="1:21" s="33" customFormat="1" ht="13.9">
      <c r="E27" s="109"/>
      <c r="F27" s="110"/>
    </row>
    <row r="28" spans="1:21" s="32" customFormat="1" ht="24.6" customHeight="1">
      <c r="A28" s="207" t="s">
        <v>81</v>
      </c>
      <c r="B28" s="207"/>
      <c r="C28" s="207"/>
      <c r="D28" s="207"/>
      <c r="E28" s="207"/>
      <c r="F28" s="207"/>
      <c r="G28" s="207" t="s">
        <v>81</v>
      </c>
      <c r="H28" s="207"/>
      <c r="I28" s="207"/>
      <c r="J28" s="207"/>
      <c r="K28" s="207"/>
      <c r="L28" s="207"/>
      <c r="M28" s="207"/>
      <c r="N28" s="207"/>
      <c r="O28" s="207"/>
      <c r="P28" s="207"/>
      <c r="Q28"/>
      <c r="R28"/>
      <c r="S28"/>
      <c r="T28"/>
      <c r="U28"/>
    </row>
    <row r="29" spans="1:21" ht="9" customHeight="1"/>
    <row r="30" spans="1:21" s="32" customFormat="1" ht="28.5" customHeight="1">
      <c r="A30" s="224" t="s">
        <v>147</v>
      </c>
      <c r="B30" s="225"/>
      <c r="C30" s="225"/>
      <c r="D30" s="225"/>
      <c r="E30"/>
      <c r="F30"/>
      <c r="G30"/>
    </row>
    <row r="31" spans="1:21" s="32" customFormat="1" ht="44.1" customHeight="1">
      <c r="A31" s="93" t="s">
        <v>83</v>
      </c>
      <c r="B31" s="94" t="s">
        <v>84</v>
      </c>
      <c r="C31" s="94" t="s">
        <v>85</v>
      </c>
      <c r="D31" s="94" t="s">
        <v>86</v>
      </c>
    </row>
    <row r="32" spans="1:21">
      <c r="A32" s="27" t="s">
        <v>91</v>
      </c>
      <c r="B32" s="128">
        <f t="array" ref="B32:B71">MMULT(DF8map!B2:D41,'DF8'!B6:B8)</f>
        <v>1</v>
      </c>
      <c r="C32" s="128">
        <f t="array" ref="C32:C71">MMULT(DF8map!B2:D41,'DF8'!D6:D8)</f>
        <v>1</v>
      </c>
      <c r="D32" s="129">
        <f>IFERROR(MROUND((100*B32/C32),5)-100,0)</f>
        <v>0</v>
      </c>
    </row>
    <row r="33" spans="1:9">
      <c r="A33" s="27" t="s">
        <v>92</v>
      </c>
      <c r="B33" s="128">
        <v>1</v>
      </c>
      <c r="C33" s="128">
        <v>1</v>
      </c>
      <c r="D33" s="129">
        <f t="shared" ref="D33:D71" si="0">IFERROR(MROUND((100*B33/C33),5)-100,0)</f>
        <v>0</v>
      </c>
      <c r="I33" s="1"/>
    </row>
    <row r="34" spans="1:9">
      <c r="A34" s="27" t="s">
        <v>93</v>
      </c>
      <c r="B34" s="128">
        <v>1.1000000000000001</v>
      </c>
      <c r="C34" s="128">
        <v>1.33</v>
      </c>
      <c r="D34" s="129">
        <f t="shared" si="0"/>
        <v>-15</v>
      </c>
    </row>
    <row r="35" spans="1:9">
      <c r="A35" s="27" t="s">
        <v>94</v>
      </c>
      <c r="B35" s="128">
        <v>1</v>
      </c>
      <c r="C35" s="128">
        <v>1</v>
      </c>
      <c r="D35" s="129">
        <f t="shared" si="0"/>
        <v>0</v>
      </c>
    </row>
    <row r="36" spans="1:9">
      <c r="A36" s="27" t="s">
        <v>95</v>
      </c>
      <c r="B36" s="128">
        <v>1</v>
      </c>
      <c r="C36" s="128">
        <v>1</v>
      </c>
      <c r="D36" s="129">
        <f t="shared" si="0"/>
        <v>0</v>
      </c>
    </row>
    <row r="37" spans="1:9">
      <c r="A37" s="28" t="s">
        <v>96</v>
      </c>
      <c r="B37" s="128">
        <v>1</v>
      </c>
      <c r="C37" s="128">
        <v>1</v>
      </c>
      <c r="D37" s="129">
        <f t="shared" si="0"/>
        <v>0</v>
      </c>
    </row>
    <row r="38" spans="1:9">
      <c r="A38" s="28" t="s">
        <v>97</v>
      </c>
      <c r="B38" s="128">
        <v>1</v>
      </c>
      <c r="C38" s="128">
        <v>1</v>
      </c>
      <c r="D38" s="129">
        <f t="shared" si="0"/>
        <v>0</v>
      </c>
    </row>
    <row r="39" spans="1:9">
      <c r="A39" s="28" t="s">
        <v>98</v>
      </c>
      <c r="B39" s="128">
        <v>1</v>
      </c>
      <c r="C39" s="128">
        <v>1</v>
      </c>
      <c r="D39" s="129">
        <f t="shared" si="0"/>
        <v>0</v>
      </c>
    </row>
    <row r="40" spans="1:9">
      <c r="A40" s="28" t="s">
        <v>99</v>
      </c>
      <c r="B40" s="128">
        <v>1</v>
      </c>
      <c r="C40" s="128">
        <v>1</v>
      </c>
      <c r="D40" s="129">
        <f t="shared" si="0"/>
        <v>0</v>
      </c>
    </row>
    <row r="41" spans="1:9">
      <c r="A41" s="28" t="s">
        <v>100</v>
      </c>
      <c r="B41" s="128">
        <v>1</v>
      </c>
      <c r="C41" s="128">
        <v>1</v>
      </c>
      <c r="D41" s="129">
        <f t="shared" si="0"/>
        <v>0</v>
      </c>
    </row>
    <row r="42" spans="1:9">
      <c r="A42" s="28" t="s">
        <v>101</v>
      </c>
      <c r="B42" s="128">
        <v>1</v>
      </c>
      <c r="C42" s="128">
        <v>1</v>
      </c>
      <c r="D42" s="129">
        <f t="shared" si="0"/>
        <v>0</v>
      </c>
    </row>
    <row r="43" spans="1:9">
      <c r="A43" s="28" t="s">
        <v>102</v>
      </c>
      <c r="B43" s="128">
        <v>1</v>
      </c>
      <c r="C43" s="128">
        <v>1</v>
      </c>
      <c r="D43" s="129">
        <f t="shared" si="0"/>
        <v>0</v>
      </c>
    </row>
    <row r="44" spans="1:9">
      <c r="A44" s="28" t="s">
        <v>103</v>
      </c>
      <c r="B44" s="128">
        <v>1</v>
      </c>
      <c r="C44" s="128">
        <v>1</v>
      </c>
      <c r="D44" s="129">
        <f t="shared" si="0"/>
        <v>0</v>
      </c>
    </row>
    <row r="45" spans="1:9">
      <c r="A45" s="28" t="s">
        <v>104</v>
      </c>
      <c r="B45" s="128">
        <v>1.9000000000000001</v>
      </c>
      <c r="C45" s="128">
        <v>2.98</v>
      </c>
      <c r="D45" s="129">
        <f t="shared" si="0"/>
        <v>-35</v>
      </c>
    </row>
    <row r="46" spans="1:9">
      <c r="A46" s="28" t="s">
        <v>105</v>
      </c>
      <c r="B46" s="128">
        <v>1.9000000000000001</v>
      </c>
      <c r="C46" s="128">
        <v>2.98</v>
      </c>
      <c r="D46" s="129">
        <f t="shared" si="0"/>
        <v>-35</v>
      </c>
    </row>
    <row r="47" spans="1:9">
      <c r="A47" s="28" t="s">
        <v>106</v>
      </c>
      <c r="B47" s="128">
        <v>1</v>
      </c>
      <c r="C47" s="128">
        <v>1</v>
      </c>
      <c r="D47" s="129">
        <f t="shared" si="0"/>
        <v>0</v>
      </c>
    </row>
    <row r="48" spans="1:9">
      <c r="A48" s="28" t="s">
        <v>107</v>
      </c>
      <c r="B48" s="128">
        <v>1.3</v>
      </c>
      <c r="C48" s="128">
        <v>1.6600000000000001</v>
      </c>
      <c r="D48" s="129">
        <f t="shared" si="0"/>
        <v>-20</v>
      </c>
    </row>
    <row r="49" spans="1:4">
      <c r="A49" s="28" t="s">
        <v>108</v>
      </c>
      <c r="B49" s="128">
        <v>1</v>
      </c>
      <c r="C49" s="128">
        <v>1</v>
      </c>
      <c r="D49" s="129">
        <f t="shared" si="0"/>
        <v>0</v>
      </c>
    </row>
    <row r="50" spans="1:4">
      <c r="A50" s="28" t="s">
        <v>109</v>
      </c>
      <c r="B50" s="128">
        <v>1</v>
      </c>
      <c r="C50" s="128">
        <v>1</v>
      </c>
      <c r="D50" s="129">
        <f t="shared" si="0"/>
        <v>0</v>
      </c>
    </row>
    <row r="51" spans="1:4">
      <c r="A51" s="27" t="s">
        <v>110</v>
      </c>
      <c r="B51" s="128">
        <v>1</v>
      </c>
      <c r="C51" s="128">
        <v>1</v>
      </c>
      <c r="D51" s="129">
        <f t="shared" si="0"/>
        <v>0</v>
      </c>
    </row>
    <row r="52" spans="1:4">
      <c r="A52" s="27" t="s">
        <v>111</v>
      </c>
      <c r="B52" s="128">
        <v>1</v>
      </c>
      <c r="C52" s="128">
        <v>1</v>
      </c>
      <c r="D52" s="129">
        <f t="shared" si="0"/>
        <v>0</v>
      </c>
    </row>
    <row r="53" spans="1:4">
      <c r="A53" s="27" t="s">
        <v>112</v>
      </c>
      <c r="B53" s="128">
        <v>1</v>
      </c>
      <c r="C53" s="128">
        <v>1</v>
      </c>
      <c r="D53" s="129">
        <f t="shared" si="0"/>
        <v>0</v>
      </c>
    </row>
    <row r="54" spans="1:4">
      <c r="A54" s="27" t="s">
        <v>113</v>
      </c>
      <c r="B54" s="128">
        <v>1</v>
      </c>
      <c r="C54" s="128">
        <v>1</v>
      </c>
      <c r="D54" s="129">
        <f t="shared" si="0"/>
        <v>0</v>
      </c>
    </row>
    <row r="55" spans="1:4">
      <c r="A55" s="27" t="s">
        <v>114</v>
      </c>
      <c r="B55" s="128">
        <v>1</v>
      </c>
      <c r="C55" s="128">
        <v>1</v>
      </c>
      <c r="D55" s="129">
        <f t="shared" si="0"/>
        <v>0</v>
      </c>
    </row>
    <row r="56" spans="1:4">
      <c r="A56" s="27" t="s">
        <v>115</v>
      </c>
      <c r="B56" s="128">
        <v>1</v>
      </c>
      <c r="C56" s="128">
        <v>1</v>
      </c>
      <c r="D56" s="129">
        <f t="shared" si="0"/>
        <v>0</v>
      </c>
    </row>
    <row r="57" spans="1:4">
      <c r="A57" s="27" t="s">
        <v>116</v>
      </c>
      <c r="B57" s="128">
        <v>1</v>
      </c>
      <c r="C57" s="128">
        <v>1</v>
      </c>
      <c r="D57" s="129">
        <f t="shared" si="0"/>
        <v>0</v>
      </c>
    </row>
    <row r="58" spans="1:4">
      <c r="A58" s="27" t="s">
        <v>117</v>
      </c>
      <c r="B58" s="128">
        <v>1</v>
      </c>
      <c r="C58" s="128">
        <v>1</v>
      </c>
      <c r="D58" s="129">
        <f t="shared" si="0"/>
        <v>0</v>
      </c>
    </row>
    <row r="59" spans="1:4">
      <c r="A59" s="27" t="s">
        <v>118</v>
      </c>
      <c r="B59" s="128">
        <v>1</v>
      </c>
      <c r="C59" s="128">
        <v>1</v>
      </c>
      <c r="D59" s="129">
        <f t="shared" si="0"/>
        <v>0</v>
      </c>
    </row>
    <row r="60" spans="1:4">
      <c r="A60" s="27" t="s">
        <v>119</v>
      </c>
      <c r="B60" s="128">
        <v>1</v>
      </c>
      <c r="C60" s="128">
        <v>1</v>
      </c>
      <c r="D60" s="129">
        <f t="shared" si="0"/>
        <v>0</v>
      </c>
    </row>
    <row r="61" spans="1:4">
      <c r="A61" s="27" t="s">
        <v>120</v>
      </c>
      <c r="B61" s="128">
        <v>1</v>
      </c>
      <c r="C61" s="128">
        <v>1</v>
      </c>
      <c r="D61" s="129">
        <f t="shared" si="0"/>
        <v>0</v>
      </c>
    </row>
    <row r="62" spans="1:4">
      <c r="A62" s="28" t="s">
        <v>121</v>
      </c>
      <c r="B62" s="128">
        <v>1</v>
      </c>
      <c r="C62" s="128">
        <v>1</v>
      </c>
      <c r="D62" s="129">
        <f t="shared" si="0"/>
        <v>0</v>
      </c>
    </row>
    <row r="63" spans="1:4">
      <c r="A63" s="28" t="s">
        <v>122</v>
      </c>
      <c r="B63" s="128">
        <v>1</v>
      </c>
      <c r="C63" s="128">
        <v>1</v>
      </c>
      <c r="D63" s="129">
        <f t="shared" si="0"/>
        <v>0</v>
      </c>
    </row>
    <row r="64" spans="1:4">
      <c r="A64" s="28" t="s">
        <v>123</v>
      </c>
      <c r="B64" s="128">
        <v>1</v>
      </c>
      <c r="C64" s="128">
        <v>1</v>
      </c>
      <c r="D64" s="129">
        <f t="shared" si="0"/>
        <v>0</v>
      </c>
    </row>
    <row r="65" spans="1:4">
      <c r="A65" s="28" t="s">
        <v>124</v>
      </c>
      <c r="B65" s="128">
        <v>1</v>
      </c>
      <c r="C65" s="128">
        <v>1</v>
      </c>
      <c r="D65" s="129">
        <f t="shared" si="0"/>
        <v>0</v>
      </c>
    </row>
    <row r="66" spans="1:4">
      <c r="A66" s="28" t="s">
        <v>125</v>
      </c>
      <c r="B66" s="128">
        <v>1</v>
      </c>
      <c r="C66" s="128">
        <v>1</v>
      </c>
      <c r="D66" s="129">
        <f t="shared" si="0"/>
        <v>0</v>
      </c>
    </row>
    <row r="67" spans="1:4">
      <c r="A67" s="28" t="s">
        <v>126</v>
      </c>
      <c r="B67" s="128">
        <v>1</v>
      </c>
      <c r="C67" s="128">
        <v>1</v>
      </c>
      <c r="D67" s="129">
        <f t="shared" si="0"/>
        <v>0</v>
      </c>
    </row>
    <row r="68" spans="1:4">
      <c r="A68" s="27" t="s">
        <v>127</v>
      </c>
      <c r="B68" s="128">
        <v>1.6</v>
      </c>
      <c r="C68" s="128">
        <v>2.3199999999999998</v>
      </c>
      <c r="D68" s="129">
        <f t="shared" si="0"/>
        <v>-30</v>
      </c>
    </row>
    <row r="69" spans="1:4">
      <c r="A69" s="27" t="s">
        <v>128</v>
      </c>
      <c r="B69" s="128">
        <v>1</v>
      </c>
      <c r="C69" s="128">
        <v>1</v>
      </c>
      <c r="D69" s="129">
        <f t="shared" si="0"/>
        <v>0</v>
      </c>
    </row>
    <row r="70" spans="1:4">
      <c r="A70" s="27" t="s">
        <v>129</v>
      </c>
      <c r="B70" s="128">
        <v>1</v>
      </c>
      <c r="C70" s="128">
        <v>1</v>
      </c>
      <c r="D70" s="129">
        <f t="shared" si="0"/>
        <v>0</v>
      </c>
    </row>
    <row r="71" spans="1:4">
      <c r="A71" s="27" t="s">
        <v>130</v>
      </c>
      <c r="B71" s="128">
        <v>1</v>
      </c>
      <c r="C71" s="128">
        <v>1</v>
      </c>
      <c r="D71" s="129">
        <f t="shared" si="0"/>
        <v>0</v>
      </c>
    </row>
  </sheetData>
  <sheetProtection algorithmName="SHA-512" hashValue="hEX2FMInQhh6OvCyNztQj+pBuGMm4TvvA1wyWwM0Cwll//Xi8T8pnvk5XW8KGMo6kKT9xxclwGovDuwO++pkkQ==" saltValue="BTx35+CEZMtFc18OT3STrg==" spinCount="100000" sheet="1" objects="1" scenarios="1"/>
  <mergeCells count="12">
    <mergeCell ref="A30:D30"/>
    <mergeCell ref="B5:C5"/>
    <mergeCell ref="B6:C6"/>
    <mergeCell ref="B7:C7"/>
    <mergeCell ref="B8:C8"/>
    <mergeCell ref="A3:F3"/>
    <mergeCell ref="A1:F1"/>
    <mergeCell ref="G1:P1"/>
    <mergeCell ref="G3:P3"/>
    <mergeCell ref="A28:F28"/>
    <mergeCell ref="G28:P28"/>
    <mergeCell ref="I6:M6"/>
  </mergeCells>
  <pageMargins left="0.25" right="0.25" top="0.75" bottom="0.75" header="0.3" footer="0.3"/>
  <pageSetup paperSize="5" scale="88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26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10E5-5B4A-40E0-B91E-B2A3C8702360}">
  <sheetPr>
    <tabColor theme="8" tint="-0.499984740745262"/>
    <pageSetUpPr fitToPage="1"/>
  </sheetPr>
  <dimension ref="A1:F41"/>
  <sheetViews>
    <sheetView showGridLines="0" zoomScale="85" zoomScaleNormal="85" workbookViewId="0">
      <pane ySplit="1" topLeftCell="A2" activePane="bottomLeft" state="frozen"/>
      <selection pane="bottomLeft" activeCell="A2" sqref="A2"/>
      <selection activeCell="A9" sqref="A9:B9"/>
    </sheetView>
  </sheetViews>
  <sheetFormatPr defaultRowHeight="15.6"/>
  <cols>
    <col min="1" max="1" width="8.7109375" style="26"/>
    <col min="2" max="4" width="13.85546875" style="29" customWidth="1"/>
  </cols>
  <sheetData>
    <row r="1" spans="1:6" ht="21">
      <c r="A1" s="42" t="s">
        <v>354</v>
      </c>
      <c r="B1" s="40" t="s">
        <v>351</v>
      </c>
      <c r="C1" s="40" t="s">
        <v>352</v>
      </c>
      <c r="D1" s="40" t="s">
        <v>355</v>
      </c>
    </row>
    <row r="2" spans="1:6" ht="14.45">
      <c r="A2" s="38" t="s">
        <v>91</v>
      </c>
      <c r="B2" s="151">
        <v>1</v>
      </c>
      <c r="C2" s="151">
        <v>1</v>
      </c>
      <c r="D2" s="151">
        <v>1</v>
      </c>
    </row>
    <row r="3" spans="1:6" ht="14.45">
      <c r="A3" s="38" t="s">
        <v>92</v>
      </c>
      <c r="B3" s="151">
        <v>1</v>
      </c>
      <c r="C3" s="151">
        <v>1</v>
      </c>
      <c r="D3" s="151">
        <v>1</v>
      </c>
    </row>
    <row r="4" spans="1:6" ht="14.45">
      <c r="A4" s="38" t="s">
        <v>93</v>
      </c>
      <c r="B4" s="151">
        <v>1</v>
      </c>
      <c r="C4" s="151">
        <v>2</v>
      </c>
      <c r="D4" s="151">
        <v>1</v>
      </c>
    </row>
    <row r="5" spans="1:6" ht="14.45">
      <c r="A5" s="38" t="s">
        <v>94</v>
      </c>
      <c r="B5" s="151">
        <v>1</v>
      </c>
      <c r="C5" s="151">
        <v>1</v>
      </c>
      <c r="D5" s="151">
        <v>1</v>
      </c>
    </row>
    <row r="6" spans="1:6" ht="14.45">
      <c r="A6" s="38" t="s">
        <v>95</v>
      </c>
      <c r="B6" s="151">
        <v>1</v>
      </c>
      <c r="C6" s="151">
        <v>1</v>
      </c>
      <c r="D6" s="151">
        <v>1</v>
      </c>
      <c r="F6" s="24"/>
    </row>
    <row r="7" spans="1:6" ht="14.45">
      <c r="A7" s="39" t="s">
        <v>96</v>
      </c>
      <c r="B7" s="151">
        <v>1</v>
      </c>
      <c r="C7" s="151">
        <v>1</v>
      </c>
      <c r="D7" s="151">
        <v>1</v>
      </c>
      <c r="F7" s="24"/>
    </row>
    <row r="8" spans="1:6" ht="14.45">
      <c r="A8" s="39" t="s">
        <v>97</v>
      </c>
      <c r="B8" s="151">
        <v>1</v>
      </c>
      <c r="C8" s="151">
        <v>1</v>
      </c>
      <c r="D8" s="151">
        <v>1</v>
      </c>
      <c r="F8" s="24"/>
    </row>
    <row r="9" spans="1:6" ht="14.45">
      <c r="A9" s="39" t="s">
        <v>98</v>
      </c>
      <c r="B9" s="151">
        <v>1</v>
      </c>
      <c r="C9" s="151">
        <v>1</v>
      </c>
      <c r="D9" s="151">
        <v>1</v>
      </c>
      <c r="F9" s="24"/>
    </row>
    <row r="10" spans="1:6" ht="14.45">
      <c r="A10" s="39" t="s">
        <v>99</v>
      </c>
      <c r="B10" s="151">
        <v>1</v>
      </c>
      <c r="C10" s="151">
        <v>1</v>
      </c>
      <c r="D10" s="151">
        <v>1</v>
      </c>
      <c r="F10" s="6"/>
    </row>
    <row r="11" spans="1:6" ht="14.45">
      <c r="A11" s="39" t="s">
        <v>100</v>
      </c>
      <c r="B11" s="151">
        <v>1</v>
      </c>
      <c r="C11" s="151">
        <v>1</v>
      </c>
      <c r="D11" s="151">
        <v>1</v>
      </c>
    </row>
    <row r="12" spans="1:6" ht="14.45">
      <c r="A12" s="39" t="s">
        <v>101</v>
      </c>
      <c r="B12" s="151">
        <v>1</v>
      </c>
      <c r="C12" s="151">
        <v>1</v>
      </c>
      <c r="D12" s="151">
        <v>1</v>
      </c>
    </row>
    <row r="13" spans="1:6" ht="14.45">
      <c r="A13" s="39" t="s">
        <v>102</v>
      </c>
      <c r="B13" s="151">
        <v>1</v>
      </c>
      <c r="C13" s="151">
        <v>1</v>
      </c>
      <c r="D13" s="151">
        <v>1</v>
      </c>
    </row>
    <row r="14" spans="1:6" ht="14.45">
      <c r="A14" s="39" t="s">
        <v>103</v>
      </c>
      <c r="B14" s="151">
        <v>1</v>
      </c>
      <c r="C14" s="151">
        <v>1</v>
      </c>
      <c r="D14" s="151">
        <v>1</v>
      </c>
    </row>
    <row r="15" spans="1:6" ht="14.45">
      <c r="A15" s="39" t="s">
        <v>104</v>
      </c>
      <c r="B15" s="151">
        <v>4</v>
      </c>
      <c r="C15" s="151">
        <v>4</v>
      </c>
      <c r="D15" s="151">
        <v>1</v>
      </c>
    </row>
    <row r="16" spans="1:6" ht="14.45">
      <c r="A16" s="39" t="s">
        <v>105</v>
      </c>
      <c r="B16" s="151">
        <v>4</v>
      </c>
      <c r="C16" s="151">
        <v>4</v>
      </c>
      <c r="D16" s="151">
        <v>1</v>
      </c>
    </row>
    <row r="17" spans="1:4" ht="14.45">
      <c r="A17" s="39" t="s">
        <v>106</v>
      </c>
      <c r="B17" s="151">
        <v>1</v>
      </c>
      <c r="C17" s="151">
        <v>1</v>
      </c>
      <c r="D17" s="151">
        <v>1</v>
      </c>
    </row>
    <row r="18" spans="1:4" ht="14.45">
      <c r="A18" s="39" t="s">
        <v>107</v>
      </c>
      <c r="B18" s="151">
        <v>2</v>
      </c>
      <c r="C18" s="151">
        <v>2</v>
      </c>
      <c r="D18" s="151">
        <v>1</v>
      </c>
    </row>
    <row r="19" spans="1:4" ht="14.45">
      <c r="A19" s="39" t="s">
        <v>108</v>
      </c>
      <c r="B19" s="151">
        <v>1</v>
      </c>
      <c r="C19" s="151">
        <v>1</v>
      </c>
      <c r="D19" s="151">
        <v>1</v>
      </c>
    </row>
    <row r="20" spans="1:4" ht="14.45">
      <c r="A20" s="39" t="s">
        <v>109</v>
      </c>
      <c r="B20" s="151">
        <v>1</v>
      </c>
      <c r="C20" s="151">
        <v>1</v>
      </c>
      <c r="D20" s="151">
        <v>1</v>
      </c>
    </row>
    <row r="21" spans="1:4" ht="14.45">
      <c r="A21" s="38" t="s">
        <v>110</v>
      </c>
      <c r="B21" s="151">
        <v>1</v>
      </c>
      <c r="C21" s="151">
        <v>1</v>
      </c>
      <c r="D21" s="151">
        <v>1</v>
      </c>
    </row>
    <row r="22" spans="1:4" ht="14.45">
      <c r="A22" s="38" t="s">
        <v>111</v>
      </c>
      <c r="B22" s="151">
        <v>1</v>
      </c>
      <c r="C22" s="151">
        <v>1</v>
      </c>
      <c r="D22" s="151">
        <v>1</v>
      </c>
    </row>
    <row r="23" spans="1:4" ht="14.45">
      <c r="A23" s="38" t="s">
        <v>112</v>
      </c>
      <c r="B23" s="151">
        <v>1</v>
      </c>
      <c r="C23" s="151">
        <v>1</v>
      </c>
      <c r="D23" s="151">
        <v>1</v>
      </c>
    </row>
    <row r="24" spans="1:4" ht="14.45">
      <c r="A24" s="38" t="s">
        <v>113</v>
      </c>
      <c r="B24" s="151">
        <v>1</v>
      </c>
      <c r="C24" s="151">
        <v>1</v>
      </c>
      <c r="D24" s="151">
        <v>1</v>
      </c>
    </row>
    <row r="25" spans="1:4" ht="14.45">
      <c r="A25" s="38" t="s">
        <v>114</v>
      </c>
      <c r="B25" s="151">
        <v>1</v>
      </c>
      <c r="C25" s="151">
        <v>1</v>
      </c>
      <c r="D25" s="151">
        <v>1</v>
      </c>
    </row>
    <row r="26" spans="1:4" ht="14.45">
      <c r="A26" s="38" t="s">
        <v>115</v>
      </c>
      <c r="B26" s="151">
        <v>1</v>
      </c>
      <c r="C26" s="151">
        <v>1</v>
      </c>
      <c r="D26" s="151">
        <v>1</v>
      </c>
    </row>
    <row r="27" spans="1:4" ht="14.45">
      <c r="A27" s="38" t="s">
        <v>116</v>
      </c>
      <c r="B27" s="151">
        <v>1</v>
      </c>
      <c r="C27" s="151">
        <v>1</v>
      </c>
      <c r="D27" s="151">
        <v>1</v>
      </c>
    </row>
    <row r="28" spans="1:4" ht="14.45">
      <c r="A28" s="38" t="s">
        <v>117</v>
      </c>
      <c r="B28" s="151">
        <v>1</v>
      </c>
      <c r="C28" s="151">
        <v>1</v>
      </c>
      <c r="D28" s="151">
        <v>1</v>
      </c>
    </row>
    <row r="29" spans="1:4" ht="14.45">
      <c r="A29" s="38" t="s">
        <v>118</v>
      </c>
      <c r="B29" s="151">
        <v>1</v>
      </c>
      <c r="C29" s="151">
        <v>1</v>
      </c>
      <c r="D29" s="151">
        <v>1</v>
      </c>
    </row>
    <row r="30" spans="1:4" ht="14.45">
      <c r="A30" s="38" t="s">
        <v>119</v>
      </c>
      <c r="B30" s="151">
        <v>1</v>
      </c>
      <c r="C30" s="151">
        <v>1</v>
      </c>
      <c r="D30" s="151">
        <v>1</v>
      </c>
    </row>
    <row r="31" spans="1:4" ht="14.45">
      <c r="A31" s="38" t="s">
        <v>120</v>
      </c>
      <c r="B31" s="151">
        <v>1</v>
      </c>
      <c r="C31" s="151">
        <v>1</v>
      </c>
      <c r="D31" s="151">
        <v>1</v>
      </c>
    </row>
    <row r="32" spans="1:4" ht="14.45">
      <c r="A32" s="39" t="s">
        <v>121</v>
      </c>
      <c r="B32" s="151">
        <v>1</v>
      </c>
      <c r="C32" s="151">
        <v>1</v>
      </c>
      <c r="D32" s="151">
        <v>1</v>
      </c>
    </row>
    <row r="33" spans="1:4" ht="14.45">
      <c r="A33" s="39" t="s">
        <v>122</v>
      </c>
      <c r="B33" s="151">
        <v>1</v>
      </c>
      <c r="C33" s="151">
        <v>1</v>
      </c>
      <c r="D33" s="151">
        <v>1</v>
      </c>
    </row>
    <row r="34" spans="1:4" ht="14.45">
      <c r="A34" s="39" t="s">
        <v>123</v>
      </c>
      <c r="B34" s="151">
        <v>1</v>
      </c>
      <c r="C34" s="151">
        <v>1</v>
      </c>
      <c r="D34" s="151">
        <v>1</v>
      </c>
    </row>
    <row r="35" spans="1:4" ht="14.45">
      <c r="A35" s="39" t="s">
        <v>124</v>
      </c>
      <c r="B35" s="151">
        <v>1</v>
      </c>
      <c r="C35" s="151">
        <v>1</v>
      </c>
      <c r="D35" s="151">
        <v>1</v>
      </c>
    </row>
    <row r="36" spans="1:4" ht="14.45">
      <c r="A36" s="39" t="s">
        <v>125</v>
      </c>
      <c r="B36" s="151">
        <v>1</v>
      </c>
      <c r="C36" s="151">
        <v>1</v>
      </c>
      <c r="D36" s="151">
        <v>1</v>
      </c>
    </row>
    <row r="37" spans="1:4" ht="14.45">
      <c r="A37" s="39" t="s">
        <v>126</v>
      </c>
      <c r="B37" s="151">
        <v>1</v>
      </c>
      <c r="C37" s="151">
        <v>1</v>
      </c>
      <c r="D37" s="151">
        <v>1</v>
      </c>
    </row>
    <row r="38" spans="1:4" ht="14.45">
      <c r="A38" s="38" t="s">
        <v>127</v>
      </c>
      <c r="B38" s="151">
        <v>3</v>
      </c>
      <c r="C38" s="151">
        <v>3</v>
      </c>
      <c r="D38" s="151">
        <v>1</v>
      </c>
    </row>
    <row r="39" spans="1:4" ht="14.45">
      <c r="A39" s="38" t="s">
        <v>128</v>
      </c>
      <c r="B39" s="151">
        <v>1</v>
      </c>
      <c r="C39" s="151">
        <v>1</v>
      </c>
      <c r="D39" s="151">
        <v>1</v>
      </c>
    </row>
    <row r="40" spans="1:4" ht="14.45">
      <c r="A40" s="38" t="s">
        <v>129</v>
      </c>
      <c r="B40" s="151">
        <v>1</v>
      </c>
      <c r="C40" s="151">
        <v>1</v>
      </c>
      <c r="D40" s="151">
        <v>1</v>
      </c>
    </row>
    <row r="41" spans="1:4" ht="14.45">
      <c r="A41" s="38" t="s">
        <v>130</v>
      </c>
      <c r="B41" s="151">
        <v>1</v>
      </c>
      <c r="C41" s="151">
        <v>1</v>
      </c>
      <c r="D41" s="151">
        <v>1</v>
      </c>
    </row>
  </sheetData>
  <sheetProtection algorithmName="SHA-512" hashValue="nmOleJhsA3M6HbyGQbVV3PdnRpm36Ot7S2s7guBy1dxaQnSpTSvKht+Rxvg54JgUHdgwNEQHbGJyGPMp3K8TUA==" saltValue="lPVFmaEnzyYVeGFo4oPeww==" spinCount="100000" sheet="1" objects="1" scenarios="1" selectLockedCells="1" selectUnlockedCells="1"/>
  <conditionalFormatting sqref="B2:D41">
    <cfRule type="cellIs" dxfId="9" priority="1" operator="equal">
      <formula>1</formula>
    </cfRule>
    <cfRule type="cellIs" dxfId="8" priority="2" operator="equal">
      <formula>2</formula>
    </cfRule>
    <cfRule type="cellIs" dxfId="7" priority="3" operator="equal">
      <formula>3</formula>
    </cfRule>
    <cfRule type="cellIs" dxfId="6" priority="4" operator="equal">
      <formula>4</formula>
    </cfRule>
  </conditionalFormatting>
  <pageMargins left="0.25" right="0.25" top="0.75" bottom="0.75" header="0.3" footer="0.3"/>
  <pageSetup paperSize="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AB6A-3E43-4EC7-A730-80BC2FA9FC2B}">
  <sheetPr>
    <tabColor theme="9" tint="-0.499984740745262"/>
    <pageSetUpPr fitToPage="1"/>
  </sheetPr>
  <dimension ref="A1:U67"/>
  <sheetViews>
    <sheetView showGridLines="0" zoomScale="85" zoomScaleNormal="85" workbookViewId="0">
      <pane ySplit="2" topLeftCell="A3" activePane="bottomLeft" state="frozen"/>
      <selection pane="bottomLeft" activeCell="B7" sqref="B7:C7"/>
      <selection activeCell="A9" sqref="A9:B9"/>
    </sheetView>
  </sheetViews>
  <sheetFormatPr defaultRowHeight="14.45"/>
  <cols>
    <col min="1" max="1" width="12.28515625" customWidth="1"/>
    <col min="2" max="2" width="9.42578125" customWidth="1"/>
    <col min="3" max="3" width="10.140625" customWidth="1"/>
    <col min="4" max="4" width="11.42578125" customWidth="1"/>
    <col min="5" max="5" width="28.85546875" customWidth="1"/>
    <col min="6" max="6" width="25.140625" customWidth="1"/>
    <col min="7" max="7" width="17.5703125" customWidth="1"/>
  </cols>
  <sheetData>
    <row r="1" spans="1:16" s="19" customFormat="1" ht="29.45" customHeight="1">
      <c r="A1" s="204" t="s">
        <v>356</v>
      </c>
      <c r="B1" s="205"/>
      <c r="C1" s="205"/>
      <c r="D1" s="205"/>
      <c r="E1" s="205"/>
      <c r="F1" s="205"/>
      <c r="G1" s="204" t="s">
        <v>356</v>
      </c>
      <c r="H1" s="205"/>
      <c r="I1" s="205"/>
      <c r="J1" s="205"/>
      <c r="K1" s="205"/>
      <c r="L1" s="205"/>
      <c r="M1" s="205"/>
      <c r="N1" s="205"/>
      <c r="O1" s="205"/>
      <c r="P1" s="205"/>
    </row>
    <row r="2" spans="1:16" ht="12" customHeight="1"/>
    <row r="3" spans="1:16" ht="21" customHeight="1">
      <c r="A3" s="202" t="s">
        <v>357</v>
      </c>
      <c r="B3" s="202"/>
      <c r="C3" s="202"/>
      <c r="D3" s="202"/>
      <c r="E3" s="202"/>
      <c r="F3" s="202"/>
      <c r="G3" s="202" t="s">
        <v>357</v>
      </c>
      <c r="H3" s="202"/>
      <c r="I3" s="202"/>
      <c r="J3" s="202"/>
      <c r="K3" s="202"/>
      <c r="L3" s="202"/>
      <c r="M3" s="202"/>
      <c r="N3" s="202"/>
      <c r="O3" s="202"/>
      <c r="P3" s="202"/>
    </row>
    <row r="4" spans="1:16" ht="21" customHeight="1"/>
    <row r="5" spans="1:16" ht="22.5" customHeight="1">
      <c r="A5" s="118" t="s">
        <v>71</v>
      </c>
      <c r="B5" s="232" t="s">
        <v>331</v>
      </c>
      <c r="C5" s="232"/>
      <c r="D5" s="122" t="s">
        <v>73</v>
      </c>
      <c r="H5" s="236" t="s">
        <v>332</v>
      </c>
      <c r="I5" s="236"/>
      <c r="J5" s="236"/>
      <c r="K5" s="236"/>
      <c r="L5" s="236"/>
    </row>
    <row r="6" spans="1:16" ht="22.5" customHeight="1">
      <c r="A6" s="125" t="s">
        <v>358</v>
      </c>
      <c r="B6" s="248">
        <v>0.5</v>
      </c>
      <c r="C6" s="249"/>
      <c r="D6" s="126">
        <v>0.15</v>
      </c>
    </row>
    <row r="7" spans="1:16" s="32" customFormat="1" ht="22.5" customHeight="1">
      <c r="A7" s="125" t="s">
        <v>359</v>
      </c>
      <c r="B7" s="248">
        <v>0.1</v>
      </c>
      <c r="C7" s="249"/>
      <c r="D7" s="126">
        <v>0.1</v>
      </c>
      <c r="E7"/>
      <c r="F7"/>
      <c r="G7"/>
    </row>
    <row r="8" spans="1:16" s="32" customFormat="1" ht="22.5" customHeight="1">
      <c r="A8" s="125" t="s">
        <v>360</v>
      </c>
      <c r="B8" s="250">
        <v>0.4</v>
      </c>
      <c r="C8" s="249"/>
      <c r="D8" s="127">
        <v>0.75</v>
      </c>
    </row>
    <row r="9" spans="1:16">
      <c r="A9" s="134"/>
      <c r="B9" s="134"/>
      <c r="C9" s="134"/>
      <c r="D9" s="134"/>
    </row>
    <row r="10" spans="1:16">
      <c r="D10" s="25"/>
    </row>
    <row r="11" spans="1:16">
      <c r="D11" s="25"/>
    </row>
    <row r="12" spans="1:16" ht="15.6">
      <c r="E12" s="26"/>
      <c r="F12" s="26"/>
    </row>
    <row r="13" spans="1:16" s="33" customFormat="1">
      <c r="A13"/>
      <c r="B13"/>
      <c r="C13"/>
    </row>
    <row r="14" spans="1:16" s="33" customFormat="1">
      <c r="A14"/>
      <c r="B14"/>
      <c r="C14"/>
    </row>
    <row r="15" spans="1:16" s="33" customFormat="1">
      <c r="A15"/>
      <c r="B15"/>
      <c r="C15"/>
    </row>
    <row r="16" spans="1:16" s="33" customFormat="1" ht="13.9">
      <c r="E16" s="109"/>
      <c r="F16" s="110"/>
    </row>
    <row r="17" spans="1:21" s="33" customFormat="1" ht="222" customHeight="1">
      <c r="E17" s="109"/>
      <c r="F17" s="110"/>
    </row>
    <row r="18" spans="1:21" s="33" customFormat="1" ht="94.5" customHeight="1">
      <c r="E18" s="109"/>
      <c r="F18" s="110"/>
    </row>
    <row r="19" spans="1:21" s="33" customFormat="1" ht="13.9">
      <c r="E19" s="109"/>
      <c r="F19" s="110"/>
    </row>
    <row r="20" spans="1:21" s="33" customFormat="1" ht="13.9">
      <c r="E20" s="109"/>
      <c r="F20" s="110"/>
    </row>
    <row r="21" spans="1:21" s="33" customFormat="1" ht="13.9">
      <c r="E21" s="109"/>
      <c r="F21" s="110"/>
    </row>
    <row r="22" spans="1:21" s="33" customFormat="1" ht="13.9">
      <c r="E22" s="109"/>
      <c r="F22" s="110"/>
    </row>
    <row r="23" spans="1:21" s="33" customFormat="1" ht="13.9">
      <c r="E23" s="109"/>
      <c r="F23" s="110"/>
    </row>
    <row r="24" spans="1:21" s="32" customFormat="1" ht="24.6" customHeight="1">
      <c r="A24" s="207" t="s">
        <v>81</v>
      </c>
      <c r="B24" s="207"/>
      <c r="C24" s="207"/>
      <c r="D24" s="207"/>
      <c r="E24" s="207"/>
      <c r="F24" s="207"/>
      <c r="G24" s="207" t="s">
        <v>81</v>
      </c>
      <c r="H24" s="207"/>
      <c r="I24" s="207"/>
      <c r="J24" s="207"/>
      <c r="K24" s="207"/>
      <c r="L24" s="207"/>
      <c r="M24" s="207"/>
      <c r="N24" s="207"/>
      <c r="O24" s="207"/>
      <c r="P24" s="207"/>
      <c r="Q24"/>
      <c r="R24"/>
      <c r="S24"/>
      <c r="T24"/>
      <c r="U24"/>
    </row>
    <row r="25" spans="1:21" ht="9" customHeight="1"/>
    <row r="26" spans="1:21" s="32" customFormat="1" ht="39.950000000000003" customHeight="1">
      <c r="A26" s="224" t="s">
        <v>147</v>
      </c>
      <c r="B26" s="225"/>
      <c r="C26" s="225"/>
      <c r="D26" s="225"/>
      <c r="E26"/>
      <c r="F26"/>
      <c r="G26"/>
    </row>
    <row r="27" spans="1:21" s="32" customFormat="1" ht="44.45" customHeight="1">
      <c r="A27" s="93" t="s">
        <v>83</v>
      </c>
      <c r="B27" s="94" t="s">
        <v>84</v>
      </c>
      <c r="C27" s="94" t="s">
        <v>85</v>
      </c>
      <c r="D27" s="94" t="s">
        <v>86</v>
      </c>
    </row>
    <row r="28" spans="1:21">
      <c r="A28" s="27" t="s">
        <v>91</v>
      </c>
      <c r="B28" s="128">
        <f t="array" ref="B28:B67">MMULT(DF9map!B2:D41,'DF9'!B6:B8)</f>
        <v>1</v>
      </c>
      <c r="C28" s="128">
        <f t="array" ref="C28:C67">MMULT(DF9map!B2:D41,'DF9'!D6:D8)</f>
        <v>1</v>
      </c>
      <c r="D28" s="129">
        <f>IFERROR(MROUND((100*B28/C28),5)-100,0)</f>
        <v>0</v>
      </c>
    </row>
    <row r="29" spans="1:21">
      <c r="A29" s="27" t="s">
        <v>92</v>
      </c>
      <c r="B29" s="128">
        <v>1</v>
      </c>
      <c r="C29" s="128">
        <v>1</v>
      </c>
      <c r="D29" s="129">
        <f t="shared" ref="D29:D67" si="0">IFERROR(MROUND((100*B29/C29),5)-100,0)</f>
        <v>0</v>
      </c>
      <c r="I29" s="1"/>
    </row>
    <row r="30" spans="1:21">
      <c r="A30" s="27" t="s">
        <v>93</v>
      </c>
      <c r="B30" s="128">
        <v>1</v>
      </c>
      <c r="C30" s="128">
        <v>1</v>
      </c>
      <c r="D30" s="129">
        <f t="shared" si="0"/>
        <v>0</v>
      </c>
    </row>
    <row r="31" spans="1:21">
      <c r="A31" s="27" t="s">
        <v>94</v>
      </c>
      <c r="B31" s="128">
        <v>1</v>
      </c>
      <c r="C31" s="128">
        <v>1</v>
      </c>
      <c r="D31" s="129">
        <f t="shared" si="0"/>
        <v>0</v>
      </c>
    </row>
    <row r="32" spans="1:21">
      <c r="A32" s="27" t="s">
        <v>95</v>
      </c>
      <c r="B32" s="128">
        <v>1</v>
      </c>
      <c r="C32" s="128">
        <v>1</v>
      </c>
      <c r="D32" s="129">
        <f t="shared" si="0"/>
        <v>0</v>
      </c>
    </row>
    <row r="33" spans="1:4">
      <c r="A33" s="28" t="s">
        <v>96</v>
      </c>
      <c r="B33" s="128">
        <v>1</v>
      </c>
      <c r="C33" s="128">
        <v>1</v>
      </c>
      <c r="D33" s="129">
        <f t="shared" si="0"/>
        <v>0</v>
      </c>
    </row>
    <row r="34" spans="1:4">
      <c r="A34" s="28" t="s">
        <v>97</v>
      </c>
      <c r="B34" s="128">
        <v>1</v>
      </c>
      <c r="C34" s="128">
        <v>1</v>
      </c>
      <c r="D34" s="129">
        <f t="shared" si="0"/>
        <v>0</v>
      </c>
    </row>
    <row r="35" spans="1:4">
      <c r="A35" s="28" t="s">
        <v>98</v>
      </c>
      <c r="B35" s="128">
        <v>1.1000000000000001</v>
      </c>
      <c r="C35" s="128">
        <v>1.1000000000000001</v>
      </c>
      <c r="D35" s="129">
        <f t="shared" si="0"/>
        <v>0</v>
      </c>
    </row>
    <row r="36" spans="1:4">
      <c r="A36" s="28" t="s">
        <v>99</v>
      </c>
      <c r="B36" s="128">
        <v>1</v>
      </c>
      <c r="C36" s="128">
        <v>1</v>
      </c>
      <c r="D36" s="129">
        <f t="shared" si="0"/>
        <v>0</v>
      </c>
    </row>
    <row r="37" spans="1:4">
      <c r="A37" s="28" t="s">
        <v>100</v>
      </c>
      <c r="B37" s="128">
        <v>1</v>
      </c>
      <c r="C37" s="128">
        <v>1</v>
      </c>
      <c r="D37" s="129">
        <f t="shared" si="0"/>
        <v>0</v>
      </c>
    </row>
    <row r="38" spans="1:4">
      <c r="A38" s="28" t="s">
        <v>101</v>
      </c>
      <c r="B38" s="128">
        <v>1</v>
      </c>
      <c r="C38" s="128">
        <v>1</v>
      </c>
      <c r="D38" s="129">
        <f t="shared" si="0"/>
        <v>0</v>
      </c>
    </row>
    <row r="39" spans="1:4">
      <c r="A39" s="28" t="s">
        <v>102</v>
      </c>
      <c r="B39" s="128">
        <v>1.05</v>
      </c>
      <c r="C39" s="128">
        <v>1.05</v>
      </c>
      <c r="D39" s="129">
        <f t="shared" si="0"/>
        <v>0</v>
      </c>
    </row>
    <row r="40" spans="1:4">
      <c r="A40" s="28" t="s">
        <v>103</v>
      </c>
      <c r="B40" s="128">
        <v>1</v>
      </c>
      <c r="C40" s="128">
        <v>1</v>
      </c>
      <c r="D40" s="129">
        <f t="shared" si="0"/>
        <v>0</v>
      </c>
    </row>
    <row r="41" spans="1:4">
      <c r="A41" s="28" t="s">
        <v>104</v>
      </c>
      <c r="B41" s="128">
        <v>1</v>
      </c>
      <c r="C41" s="128">
        <v>1</v>
      </c>
      <c r="D41" s="129">
        <f t="shared" si="0"/>
        <v>0</v>
      </c>
    </row>
    <row r="42" spans="1:4">
      <c r="A42" s="28" t="s">
        <v>105</v>
      </c>
      <c r="B42" s="128">
        <v>1</v>
      </c>
      <c r="C42" s="128">
        <v>1</v>
      </c>
      <c r="D42" s="129">
        <f t="shared" si="0"/>
        <v>0</v>
      </c>
    </row>
    <row r="43" spans="1:4">
      <c r="A43" s="28" t="s">
        <v>106</v>
      </c>
      <c r="B43" s="128">
        <v>1</v>
      </c>
      <c r="C43" s="128">
        <v>1</v>
      </c>
      <c r="D43" s="129">
        <f t="shared" si="0"/>
        <v>0</v>
      </c>
    </row>
    <row r="44" spans="1:4">
      <c r="A44" s="28" t="s">
        <v>107</v>
      </c>
      <c r="B44" s="128">
        <v>1.05</v>
      </c>
      <c r="C44" s="128">
        <v>1.05</v>
      </c>
      <c r="D44" s="129">
        <f t="shared" si="0"/>
        <v>0</v>
      </c>
    </row>
    <row r="45" spans="1:4">
      <c r="A45" s="28" t="s">
        <v>108</v>
      </c>
      <c r="B45" s="128">
        <v>1</v>
      </c>
      <c r="C45" s="128">
        <v>1</v>
      </c>
      <c r="D45" s="129">
        <f t="shared" si="0"/>
        <v>0</v>
      </c>
    </row>
    <row r="46" spans="1:4">
      <c r="A46" s="28" t="s">
        <v>109</v>
      </c>
      <c r="B46" s="128">
        <v>1</v>
      </c>
      <c r="C46" s="128">
        <v>1</v>
      </c>
      <c r="D46" s="129">
        <f t="shared" si="0"/>
        <v>0</v>
      </c>
    </row>
    <row r="47" spans="1:4">
      <c r="A47" s="27" t="s">
        <v>110</v>
      </c>
      <c r="B47" s="128">
        <v>1.5499999999999998</v>
      </c>
      <c r="C47" s="128">
        <v>1.2</v>
      </c>
      <c r="D47" s="129">
        <f t="shared" si="0"/>
        <v>30</v>
      </c>
    </row>
    <row r="48" spans="1:4">
      <c r="A48" s="27" t="s">
        <v>111</v>
      </c>
      <c r="B48" s="128">
        <v>2.35</v>
      </c>
      <c r="C48" s="128">
        <v>1.4750000000000001</v>
      </c>
      <c r="D48" s="129">
        <f t="shared" si="0"/>
        <v>60</v>
      </c>
    </row>
    <row r="49" spans="1:4">
      <c r="A49" s="27" t="s">
        <v>112</v>
      </c>
      <c r="B49" s="128">
        <v>2.6999999999999997</v>
      </c>
      <c r="C49" s="128">
        <v>1.65</v>
      </c>
      <c r="D49" s="129">
        <f t="shared" si="0"/>
        <v>65</v>
      </c>
    </row>
    <row r="50" spans="1:4">
      <c r="A50" s="27" t="s">
        <v>113</v>
      </c>
      <c r="B50" s="128">
        <v>1</v>
      </c>
      <c r="C50" s="128">
        <v>1</v>
      </c>
      <c r="D50" s="129">
        <f t="shared" si="0"/>
        <v>0</v>
      </c>
    </row>
    <row r="51" spans="1:4">
      <c r="A51" s="27" t="s">
        <v>114</v>
      </c>
      <c r="B51" s="128">
        <v>1.7999999999999998</v>
      </c>
      <c r="C51" s="128">
        <v>1.2749999999999999</v>
      </c>
      <c r="D51" s="129">
        <f t="shared" si="0"/>
        <v>40</v>
      </c>
    </row>
    <row r="52" spans="1:4">
      <c r="A52" s="27" t="s">
        <v>115</v>
      </c>
      <c r="B52" s="128">
        <v>2.35</v>
      </c>
      <c r="C52" s="128">
        <v>1.4750000000000001</v>
      </c>
      <c r="D52" s="129">
        <f t="shared" si="0"/>
        <v>60</v>
      </c>
    </row>
    <row r="53" spans="1:4">
      <c r="A53" s="27" t="s">
        <v>116</v>
      </c>
      <c r="B53" s="128">
        <v>1.9</v>
      </c>
      <c r="C53" s="128">
        <v>1.375</v>
      </c>
      <c r="D53" s="129">
        <f t="shared" si="0"/>
        <v>40</v>
      </c>
    </row>
    <row r="54" spans="1:4">
      <c r="A54" s="27" t="s">
        <v>117</v>
      </c>
      <c r="B54" s="128">
        <v>1</v>
      </c>
      <c r="C54" s="128">
        <v>1</v>
      </c>
      <c r="D54" s="129">
        <f t="shared" si="0"/>
        <v>0</v>
      </c>
    </row>
    <row r="55" spans="1:4">
      <c r="A55" s="27" t="s">
        <v>118</v>
      </c>
      <c r="B55" s="128">
        <v>1</v>
      </c>
      <c r="C55" s="128">
        <v>1</v>
      </c>
      <c r="D55" s="129">
        <f t="shared" si="0"/>
        <v>0</v>
      </c>
    </row>
    <row r="56" spans="1:4">
      <c r="A56" s="27" t="s">
        <v>119</v>
      </c>
      <c r="B56" s="128">
        <v>1.35</v>
      </c>
      <c r="C56" s="128">
        <v>1.175</v>
      </c>
      <c r="D56" s="129">
        <f t="shared" si="0"/>
        <v>15</v>
      </c>
    </row>
    <row r="57" spans="1:4">
      <c r="A57" s="27" t="s">
        <v>120</v>
      </c>
      <c r="B57" s="128">
        <v>1.75</v>
      </c>
      <c r="C57" s="128">
        <v>1.2250000000000001</v>
      </c>
      <c r="D57" s="129">
        <f t="shared" si="0"/>
        <v>45</v>
      </c>
    </row>
    <row r="58" spans="1:4">
      <c r="A58" s="28" t="s">
        <v>121</v>
      </c>
      <c r="B58" s="128">
        <v>1.1499999999999999</v>
      </c>
      <c r="C58" s="128">
        <v>1.1499999999999999</v>
      </c>
      <c r="D58" s="129">
        <f t="shared" si="0"/>
        <v>0</v>
      </c>
    </row>
    <row r="59" spans="1:4">
      <c r="A59" s="28" t="s">
        <v>122</v>
      </c>
      <c r="B59" s="128">
        <v>1.05</v>
      </c>
      <c r="C59" s="128">
        <v>1.05</v>
      </c>
      <c r="D59" s="129">
        <f t="shared" si="0"/>
        <v>0</v>
      </c>
    </row>
    <row r="60" spans="1:4">
      <c r="A60" s="28" t="s">
        <v>123</v>
      </c>
      <c r="B60" s="128">
        <v>1.05</v>
      </c>
      <c r="C60" s="128">
        <v>1.05</v>
      </c>
      <c r="D60" s="129">
        <f t="shared" si="0"/>
        <v>0</v>
      </c>
    </row>
    <row r="61" spans="1:4">
      <c r="A61" s="28" t="s">
        <v>124</v>
      </c>
      <c r="B61" s="128">
        <v>1</v>
      </c>
      <c r="C61" s="128">
        <v>1</v>
      </c>
      <c r="D61" s="129">
        <f t="shared" si="0"/>
        <v>0</v>
      </c>
    </row>
    <row r="62" spans="1:4">
      <c r="A62" s="28" t="s">
        <v>125</v>
      </c>
      <c r="B62" s="128">
        <v>1</v>
      </c>
      <c r="C62" s="128">
        <v>1</v>
      </c>
      <c r="D62" s="129">
        <f t="shared" si="0"/>
        <v>0</v>
      </c>
    </row>
    <row r="63" spans="1:4">
      <c r="A63" s="28" t="s">
        <v>126</v>
      </c>
      <c r="B63" s="128">
        <v>1</v>
      </c>
      <c r="C63" s="128">
        <v>1</v>
      </c>
      <c r="D63" s="129">
        <f t="shared" si="0"/>
        <v>0</v>
      </c>
    </row>
    <row r="64" spans="1:4">
      <c r="A64" s="27" t="s">
        <v>127</v>
      </c>
      <c r="B64" s="128">
        <v>1.3</v>
      </c>
      <c r="C64" s="128">
        <v>1.125</v>
      </c>
      <c r="D64" s="129">
        <f t="shared" si="0"/>
        <v>15</v>
      </c>
    </row>
    <row r="65" spans="1:4">
      <c r="A65" s="27" t="s">
        <v>128</v>
      </c>
      <c r="B65" s="128">
        <v>1</v>
      </c>
      <c r="C65" s="128">
        <v>1</v>
      </c>
      <c r="D65" s="129">
        <f t="shared" si="0"/>
        <v>0</v>
      </c>
    </row>
    <row r="66" spans="1:4">
      <c r="A66" s="27" t="s">
        <v>129</v>
      </c>
      <c r="B66" s="128">
        <v>1</v>
      </c>
      <c r="C66" s="128">
        <v>1</v>
      </c>
      <c r="D66" s="129">
        <f t="shared" si="0"/>
        <v>0</v>
      </c>
    </row>
    <row r="67" spans="1:4">
      <c r="A67" s="27" t="s">
        <v>130</v>
      </c>
      <c r="B67" s="128">
        <v>1</v>
      </c>
      <c r="C67" s="128">
        <v>1</v>
      </c>
      <c r="D67" s="129">
        <f t="shared" si="0"/>
        <v>0</v>
      </c>
    </row>
  </sheetData>
  <sheetProtection algorithmName="SHA-512" hashValue="+mDe6nUMm7gJOASoHERYPlWWHjuMyrpeVWz+BXMvuktijb0Dw5ML4FLW17/Pv136Ii/CqQ27yyUCXh/0nVG+ag==" saltValue="SWEe0M7dj/+p0tCdgdMOmg==" spinCount="100000" sheet="1" objects="1" scenarios="1"/>
  <mergeCells count="12">
    <mergeCell ref="H5:L5"/>
    <mergeCell ref="G1:P1"/>
    <mergeCell ref="A3:F3"/>
    <mergeCell ref="G3:P3"/>
    <mergeCell ref="A26:D26"/>
    <mergeCell ref="B5:C5"/>
    <mergeCell ref="B6:C6"/>
    <mergeCell ref="B7:C7"/>
    <mergeCell ref="B8:C8"/>
    <mergeCell ref="A1:F1"/>
    <mergeCell ref="A24:F24"/>
    <mergeCell ref="G24:P24"/>
  </mergeCells>
  <pageMargins left="0.25" right="0.25" top="0.75" bottom="0.75" header="0.3" footer="0.3"/>
  <pageSetup paperSize="5" scale="88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22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CD53-5A36-4211-B8A5-B886EC167B7C}">
  <sheetPr>
    <tabColor theme="8" tint="-0.499984740745262"/>
    <pageSetUpPr fitToPage="1"/>
  </sheetPr>
  <dimension ref="A1:D41"/>
  <sheetViews>
    <sheetView showGridLines="0" zoomScale="85" zoomScaleNormal="85" workbookViewId="0">
      <pane ySplit="1" topLeftCell="A2" activePane="bottomLeft" state="frozen"/>
      <selection pane="bottomLeft" activeCell="A2" sqref="A2"/>
      <selection activeCell="A9" sqref="A9:B9"/>
    </sheetView>
  </sheetViews>
  <sheetFormatPr defaultRowHeight="15.6"/>
  <cols>
    <col min="1" max="1" width="8.7109375" style="26"/>
    <col min="2" max="4" width="13.85546875" style="29" customWidth="1"/>
  </cols>
  <sheetData>
    <row r="1" spans="1:4" ht="21">
      <c r="A1" s="42" t="s">
        <v>361</v>
      </c>
      <c r="B1" s="40" t="s">
        <v>358</v>
      </c>
      <c r="C1" s="40" t="s">
        <v>359</v>
      </c>
      <c r="D1" s="40" t="s">
        <v>360</v>
      </c>
    </row>
    <row r="2" spans="1:4" ht="14.45">
      <c r="A2" s="38" t="s">
        <v>91</v>
      </c>
      <c r="B2" s="48">
        <v>1</v>
      </c>
      <c r="C2" s="48">
        <v>1</v>
      </c>
      <c r="D2" s="48">
        <v>1</v>
      </c>
    </row>
    <row r="3" spans="1:4" ht="14.45">
      <c r="A3" s="38" t="s">
        <v>92</v>
      </c>
      <c r="B3" s="48">
        <v>1</v>
      </c>
      <c r="C3" s="48">
        <v>1</v>
      </c>
      <c r="D3" s="48">
        <v>1</v>
      </c>
    </row>
    <row r="4" spans="1:4" ht="14.45">
      <c r="A4" s="38" t="s">
        <v>93</v>
      </c>
      <c r="B4" s="48">
        <v>1</v>
      </c>
      <c r="C4" s="48">
        <v>1</v>
      </c>
      <c r="D4" s="48">
        <v>1</v>
      </c>
    </row>
    <row r="5" spans="1:4" ht="14.45">
      <c r="A5" s="38" t="s">
        <v>94</v>
      </c>
      <c r="B5" s="48">
        <v>1</v>
      </c>
      <c r="C5" s="48">
        <v>1</v>
      </c>
      <c r="D5" s="48">
        <v>1</v>
      </c>
    </row>
    <row r="6" spans="1:4" ht="14.45">
      <c r="A6" s="38" t="s">
        <v>95</v>
      </c>
      <c r="B6" s="48">
        <v>1</v>
      </c>
      <c r="C6" s="48">
        <v>1</v>
      </c>
      <c r="D6" s="48">
        <v>1</v>
      </c>
    </row>
    <row r="7" spans="1:4" ht="14.45">
      <c r="A7" s="39" t="s">
        <v>96</v>
      </c>
      <c r="B7" s="48">
        <v>1</v>
      </c>
      <c r="C7" s="48">
        <v>1</v>
      </c>
      <c r="D7" s="48">
        <v>1</v>
      </c>
    </row>
    <row r="8" spans="1:4" ht="14.45">
      <c r="A8" s="39" t="s">
        <v>97</v>
      </c>
      <c r="B8" s="48">
        <v>1</v>
      </c>
      <c r="C8" s="48">
        <v>1</v>
      </c>
      <c r="D8" s="48">
        <v>1</v>
      </c>
    </row>
    <row r="9" spans="1:4" ht="14.45">
      <c r="A9" s="39" t="s">
        <v>98</v>
      </c>
      <c r="B9" s="48">
        <v>1</v>
      </c>
      <c r="C9" s="48">
        <v>2</v>
      </c>
      <c r="D9" s="48">
        <v>1</v>
      </c>
    </row>
    <row r="10" spans="1:4" ht="14.45">
      <c r="A10" s="39" t="s">
        <v>99</v>
      </c>
      <c r="B10" s="48">
        <v>1</v>
      </c>
      <c r="C10" s="48">
        <v>1</v>
      </c>
      <c r="D10" s="48">
        <v>1</v>
      </c>
    </row>
    <row r="11" spans="1:4" ht="14.45">
      <c r="A11" s="39" t="s">
        <v>100</v>
      </c>
      <c r="B11" s="48">
        <v>1</v>
      </c>
      <c r="C11" s="48">
        <v>1</v>
      </c>
      <c r="D11" s="48">
        <v>1</v>
      </c>
    </row>
    <row r="12" spans="1:4" ht="14.45">
      <c r="A12" s="39" t="s">
        <v>101</v>
      </c>
      <c r="B12" s="48">
        <v>1</v>
      </c>
      <c r="C12" s="48">
        <v>1</v>
      </c>
      <c r="D12" s="48">
        <v>1</v>
      </c>
    </row>
    <row r="13" spans="1:4" ht="14.45">
      <c r="A13" s="39" t="s">
        <v>102</v>
      </c>
      <c r="B13" s="48">
        <v>1</v>
      </c>
      <c r="C13" s="48">
        <v>1.5</v>
      </c>
      <c r="D13" s="48">
        <v>1</v>
      </c>
    </row>
    <row r="14" spans="1:4" ht="14.45">
      <c r="A14" s="39" t="s">
        <v>103</v>
      </c>
      <c r="B14" s="48">
        <v>1</v>
      </c>
      <c r="C14" s="48">
        <v>1</v>
      </c>
      <c r="D14" s="48">
        <v>1</v>
      </c>
    </row>
    <row r="15" spans="1:4" ht="14.45">
      <c r="A15" s="39" t="s">
        <v>104</v>
      </c>
      <c r="B15" s="48">
        <v>1</v>
      </c>
      <c r="C15" s="48">
        <v>1</v>
      </c>
      <c r="D15" s="48">
        <v>1</v>
      </c>
    </row>
    <row r="16" spans="1:4" ht="14.45">
      <c r="A16" s="39" t="s">
        <v>105</v>
      </c>
      <c r="B16" s="48">
        <v>1</v>
      </c>
      <c r="C16" s="48">
        <v>1</v>
      </c>
      <c r="D16" s="48">
        <v>1</v>
      </c>
    </row>
    <row r="17" spans="1:4" ht="14.45">
      <c r="A17" s="39" t="s">
        <v>106</v>
      </c>
      <c r="B17" s="48">
        <v>1</v>
      </c>
      <c r="C17" s="48">
        <v>1</v>
      </c>
      <c r="D17" s="48">
        <v>1</v>
      </c>
    </row>
    <row r="18" spans="1:4" ht="14.45">
      <c r="A18" s="39" t="s">
        <v>107</v>
      </c>
      <c r="B18" s="48">
        <v>1</v>
      </c>
      <c r="C18" s="48">
        <v>1.5</v>
      </c>
      <c r="D18" s="48">
        <v>1</v>
      </c>
    </row>
    <row r="19" spans="1:4" ht="14.45">
      <c r="A19" s="39" t="s">
        <v>108</v>
      </c>
      <c r="B19" s="48">
        <v>1</v>
      </c>
      <c r="C19" s="48">
        <v>1</v>
      </c>
      <c r="D19" s="48">
        <v>1</v>
      </c>
    </row>
    <row r="20" spans="1:4" ht="14.45">
      <c r="A20" s="39" t="s">
        <v>109</v>
      </c>
      <c r="B20" s="48">
        <v>1</v>
      </c>
      <c r="C20" s="48">
        <v>1</v>
      </c>
      <c r="D20" s="48">
        <v>1</v>
      </c>
    </row>
    <row r="21" spans="1:4" ht="14.45">
      <c r="A21" s="38" t="s">
        <v>110</v>
      </c>
      <c r="B21" s="48">
        <v>2</v>
      </c>
      <c r="C21" s="48">
        <v>1.5</v>
      </c>
      <c r="D21" s="48">
        <v>1</v>
      </c>
    </row>
    <row r="22" spans="1:4" ht="14.45">
      <c r="A22" s="38" t="s">
        <v>111</v>
      </c>
      <c r="B22" s="48">
        <v>3.5</v>
      </c>
      <c r="C22" s="48">
        <v>2</v>
      </c>
      <c r="D22" s="48">
        <v>1</v>
      </c>
    </row>
    <row r="23" spans="1:4" ht="14.45">
      <c r="A23" s="38" t="s">
        <v>112</v>
      </c>
      <c r="B23" s="48">
        <v>4</v>
      </c>
      <c r="C23" s="48">
        <v>3</v>
      </c>
      <c r="D23" s="48">
        <v>1</v>
      </c>
    </row>
    <row r="24" spans="1:4" ht="14.45">
      <c r="A24" s="38" t="s">
        <v>113</v>
      </c>
      <c r="B24" s="48">
        <v>1</v>
      </c>
      <c r="C24" s="48">
        <v>1</v>
      </c>
      <c r="D24" s="48">
        <v>1</v>
      </c>
    </row>
    <row r="25" spans="1:4" ht="14.45">
      <c r="A25" s="38" t="s">
        <v>114</v>
      </c>
      <c r="B25" s="48">
        <v>2.5</v>
      </c>
      <c r="C25" s="48">
        <v>1.5</v>
      </c>
      <c r="D25" s="48">
        <v>1</v>
      </c>
    </row>
    <row r="26" spans="1:4" ht="14.45">
      <c r="A26" s="38" t="s">
        <v>115</v>
      </c>
      <c r="B26" s="48">
        <v>3.5</v>
      </c>
      <c r="C26" s="48">
        <v>2</v>
      </c>
      <c r="D26" s="48">
        <v>1</v>
      </c>
    </row>
    <row r="27" spans="1:4" ht="14.45">
      <c r="A27" s="38" t="s">
        <v>116</v>
      </c>
      <c r="B27" s="48">
        <v>2.5</v>
      </c>
      <c r="C27" s="48">
        <v>2.5</v>
      </c>
      <c r="D27" s="48">
        <v>1</v>
      </c>
    </row>
    <row r="28" spans="1:4" ht="14.45">
      <c r="A28" s="38" t="s">
        <v>117</v>
      </c>
      <c r="B28" s="48">
        <v>1</v>
      </c>
      <c r="C28" s="48">
        <v>1</v>
      </c>
      <c r="D28" s="48">
        <v>1</v>
      </c>
    </row>
    <row r="29" spans="1:4" ht="14.45">
      <c r="A29" s="38" t="s">
        <v>118</v>
      </c>
      <c r="B29" s="48">
        <v>1</v>
      </c>
      <c r="C29" s="48">
        <v>1</v>
      </c>
      <c r="D29" s="48">
        <v>1</v>
      </c>
    </row>
    <row r="30" spans="1:4" ht="14.45">
      <c r="A30" s="38" t="s">
        <v>119</v>
      </c>
      <c r="B30" s="48">
        <v>1.5</v>
      </c>
      <c r="C30" s="48">
        <v>2</v>
      </c>
      <c r="D30" s="48">
        <v>1</v>
      </c>
    </row>
    <row r="31" spans="1:4" ht="14.45">
      <c r="A31" s="38" t="s">
        <v>120</v>
      </c>
      <c r="B31" s="48">
        <v>2.5</v>
      </c>
      <c r="C31" s="48">
        <v>1</v>
      </c>
      <c r="D31" s="48">
        <v>1</v>
      </c>
    </row>
    <row r="32" spans="1:4" ht="14.45">
      <c r="A32" s="39" t="s">
        <v>121</v>
      </c>
      <c r="B32" s="48">
        <v>1</v>
      </c>
      <c r="C32" s="48">
        <v>2.5</v>
      </c>
      <c r="D32" s="48">
        <v>1</v>
      </c>
    </row>
    <row r="33" spans="1:4" ht="14.45">
      <c r="A33" s="39" t="s">
        <v>122</v>
      </c>
      <c r="B33" s="48">
        <v>1</v>
      </c>
      <c r="C33" s="48">
        <v>1.5</v>
      </c>
      <c r="D33" s="48">
        <v>1</v>
      </c>
    </row>
    <row r="34" spans="1:4" ht="14.45">
      <c r="A34" s="39" t="s">
        <v>123</v>
      </c>
      <c r="B34" s="48">
        <v>1</v>
      </c>
      <c r="C34" s="48">
        <v>1.5</v>
      </c>
      <c r="D34" s="48">
        <v>1</v>
      </c>
    </row>
    <row r="35" spans="1:4" ht="14.45">
      <c r="A35" s="39" t="s">
        <v>124</v>
      </c>
      <c r="B35" s="48">
        <v>1</v>
      </c>
      <c r="C35" s="48">
        <v>1</v>
      </c>
      <c r="D35" s="48">
        <v>1</v>
      </c>
    </row>
    <row r="36" spans="1:4" ht="14.45">
      <c r="A36" s="39" t="s">
        <v>125</v>
      </c>
      <c r="B36" s="48">
        <v>1</v>
      </c>
      <c r="C36" s="48">
        <v>1</v>
      </c>
      <c r="D36" s="48">
        <v>1</v>
      </c>
    </row>
    <row r="37" spans="1:4" ht="14.45">
      <c r="A37" s="39" t="s">
        <v>126</v>
      </c>
      <c r="B37" s="48">
        <v>1</v>
      </c>
      <c r="C37" s="48">
        <v>1</v>
      </c>
      <c r="D37" s="48">
        <v>1</v>
      </c>
    </row>
    <row r="38" spans="1:4" ht="14.45">
      <c r="A38" s="38" t="s">
        <v>127</v>
      </c>
      <c r="B38" s="48">
        <v>1.5</v>
      </c>
      <c r="C38" s="48">
        <v>1.5</v>
      </c>
      <c r="D38" s="48">
        <v>1</v>
      </c>
    </row>
    <row r="39" spans="1:4" ht="14.45">
      <c r="A39" s="38" t="s">
        <v>128</v>
      </c>
      <c r="B39" s="48">
        <v>1</v>
      </c>
      <c r="C39" s="48">
        <v>1</v>
      </c>
      <c r="D39" s="48">
        <v>1</v>
      </c>
    </row>
    <row r="40" spans="1:4" ht="14.45">
      <c r="A40" s="38" t="s">
        <v>129</v>
      </c>
      <c r="B40" s="48">
        <v>1</v>
      </c>
      <c r="C40" s="48">
        <v>1</v>
      </c>
      <c r="D40" s="48">
        <v>1</v>
      </c>
    </row>
    <row r="41" spans="1:4" ht="14.45">
      <c r="A41" s="38" t="s">
        <v>130</v>
      </c>
      <c r="B41" s="48">
        <v>1</v>
      </c>
      <c r="C41" s="48">
        <v>1</v>
      </c>
      <c r="D41" s="48">
        <v>1</v>
      </c>
    </row>
  </sheetData>
  <sheetProtection algorithmName="SHA-512" hashValue="OcH+mPrW67AKWzfAwylmtEB7TlXZ8aOW8sM1gxkKG5qw16X9tXYg99az+wLdm3tVighwtz5NdB69EhkVgOYQpQ==" saltValue="CIfNb9Fe6LHlyeAVb1NW9Q==" spinCount="100000" sheet="1" objects="1" scenarios="1" selectLockedCells="1" selectUnlockedCells="1"/>
  <conditionalFormatting sqref="B2:D41">
    <cfRule type="cellIs" dxfId="5" priority="1" stopIfTrue="1" operator="greaterThanOrEqual">
      <formula>3</formula>
    </cfRule>
    <cfRule type="cellIs" dxfId="4" priority="2" stopIfTrue="1" operator="greaterThanOrEqual">
      <formula>2</formula>
    </cfRule>
    <cfRule type="cellIs" dxfId="3" priority="3" operator="greaterThanOrEqual">
      <formula>1</formula>
    </cfRule>
  </conditionalFormatting>
  <pageMargins left="0.25" right="0.25" top="0.75" bottom="0.75" header="0.3" footer="0.3"/>
  <pageSetup paperSize="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290D-F5F1-41CA-AD43-17829ADFBDAB}">
  <sheetPr>
    <tabColor theme="9" tint="-0.499984740745262"/>
    <pageSetUpPr fitToPage="1"/>
  </sheetPr>
  <dimension ref="A1:U61"/>
  <sheetViews>
    <sheetView showGridLines="0" zoomScale="85" zoomScaleNormal="85" workbookViewId="0">
      <pane ySplit="2" topLeftCell="A12" activePane="bottomLeft" state="frozen"/>
      <selection pane="bottomLeft" activeCell="P12" sqref="P12"/>
      <selection activeCell="A9" sqref="A9:B9"/>
    </sheetView>
  </sheetViews>
  <sheetFormatPr defaultRowHeight="14.45"/>
  <cols>
    <col min="1" max="1" width="11.85546875" customWidth="1"/>
    <col min="2" max="3" width="9" customWidth="1"/>
    <col min="4" max="4" width="10.85546875" customWidth="1"/>
    <col min="5" max="5" width="28.85546875" customWidth="1"/>
    <col min="6" max="6" width="27.7109375" customWidth="1"/>
    <col min="7" max="7" width="17.5703125" customWidth="1"/>
  </cols>
  <sheetData>
    <row r="1" spans="1:16" s="19" customFormat="1" ht="29.45" customHeight="1">
      <c r="A1" s="204" t="s">
        <v>362</v>
      </c>
      <c r="B1" s="205"/>
      <c r="C1" s="205"/>
      <c r="D1" s="205"/>
      <c r="E1" s="205"/>
      <c r="F1" s="205"/>
      <c r="G1" s="204" t="s">
        <v>362</v>
      </c>
      <c r="H1" s="205"/>
      <c r="I1" s="205"/>
      <c r="J1" s="205"/>
      <c r="K1" s="205"/>
      <c r="L1" s="205"/>
      <c r="M1" s="205"/>
      <c r="N1" s="205"/>
      <c r="O1" s="205"/>
      <c r="P1" s="205"/>
    </row>
    <row r="2" spans="1:16" ht="15.75" customHeight="1"/>
    <row r="3" spans="1:16" ht="21" customHeight="1">
      <c r="A3" s="202" t="s">
        <v>363</v>
      </c>
      <c r="B3" s="202"/>
      <c r="C3" s="202"/>
      <c r="D3" s="202"/>
      <c r="E3" s="202"/>
      <c r="F3" s="202"/>
      <c r="G3" s="202" t="s">
        <v>363</v>
      </c>
      <c r="H3" s="202"/>
      <c r="I3" s="202"/>
      <c r="J3" s="202"/>
      <c r="K3" s="202"/>
      <c r="L3" s="202"/>
      <c r="M3" s="202"/>
      <c r="N3" s="202"/>
      <c r="O3" s="202"/>
      <c r="P3" s="202"/>
    </row>
    <row r="4" spans="1:16" ht="14.25" customHeight="1"/>
    <row r="5" spans="1:16" s="19" customFormat="1" ht="20.100000000000001" customHeight="1">
      <c r="A5" s="135" t="s">
        <v>71</v>
      </c>
      <c r="B5" s="251" t="s">
        <v>331</v>
      </c>
      <c r="C5" s="251"/>
      <c r="D5" s="139" t="s">
        <v>73</v>
      </c>
      <c r="H5" s="236" t="s">
        <v>332</v>
      </c>
      <c r="I5" s="236"/>
      <c r="J5" s="236"/>
      <c r="K5" s="236"/>
      <c r="L5" s="236"/>
    </row>
    <row r="6" spans="1:16" s="19" customFormat="1" ht="20.100000000000001" customHeight="1">
      <c r="A6" s="138" t="s">
        <v>364</v>
      </c>
      <c r="B6" s="248">
        <v>0.1</v>
      </c>
      <c r="C6" s="248"/>
      <c r="D6" s="140">
        <v>0.15</v>
      </c>
    </row>
    <row r="7" spans="1:16" s="32" customFormat="1" ht="20.100000000000001" customHeight="1">
      <c r="A7" s="138" t="s">
        <v>365</v>
      </c>
      <c r="B7" s="248">
        <v>0.8</v>
      </c>
      <c r="C7" s="248"/>
      <c r="D7" s="140">
        <v>0.7</v>
      </c>
      <c r="E7" s="19"/>
      <c r="F7" s="19"/>
      <c r="G7" s="19"/>
    </row>
    <row r="8" spans="1:16" s="32" customFormat="1" ht="20.100000000000001" customHeight="1">
      <c r="A8" s="138" t="s">
        <v>366</v>
      </c>
      <c r="B8" s="250">
        <v>0.1</v>
      </c>
      <c r="C8" s="250"/>
      <c r="D8" s="141">
        <v>0.15</v>
      </c>
    </row>
    <row r="9" spans="1:16">
      <c r="A9" s="134"/>
      <c r="B9" s="134"/>
      <c r="C9" s="134"/>
      <c r="D9" s="134"/>
    </row>
    <row r="10" spans="1:16" ht="85.5" customHeight="1">
      <c r="A10" s="25"/>
      <c r="B10" s="25"/>
      <c r="C10" s="25"/>
      <c r="D10" s="25"/>
    </row>
    <row r="11" spans="1:16" ht="50.45" customHeight="1">
      <c r="A11" s="25"/>
      <c r="B11" s="25"/>
      <c r="C11" s="25"/>
      <c r="D11" s="25"/>
    </row>
    <row r="12" spans="1:16" ht="220.5" customHeight="1"/>
    <row r="13" spans="1:16" s="33" customFormat="1">
      <c r="E13"/>
      <c r="F13"/>
    </row>
    <row r="14" spans="1:16" s="33" customFormat="1">
      <c r="E14"/>
      <c r="F14"/>
    </row>
    <row r="15" spans="1:16" s="33" customFormat="1">
      <c r="E15"/>
      <c r="F15"/>
    </row>
    <row r="16" spans="1:16" s="33" customFormat="1">
      <c r="E16"/>
      <c r="F16"/>
    </row>
    <row r="17" spans="1:21" s="33" customFormat="1" ht="13.9">
      <c r="E17" s="109"/>
      <c r="F17" s="110"/>
    </row>
    <row r="18" spans="1:21" s="32" customFormat="1" ht="24.6" customHeight="1">
      <c r="A18" s="207" t="s">
        <v>81</v>
      </c>
      <c r="B18" s="207"/>
      <c r="C18" s="207"/>
      <c r="D18" s="207"/>
      <c r="E18" s="207"/>
      <c r="F18" s="207"/>
      <c r="G18" s="207" t="s">
        <v>81</v>
      </c>
      <c r="H18" s="207"/>
      <c r="I18" s="207"/>
      <c r="J18" s="207"/>
      <c r="K18" s="207"/>
      <c r="L18" s="207"/>
      <c r="M18" s="207"/>
      <c r="N18" s="207"/>
      <c r="O18" s="207"/>
      <c r="P18" s="207"/>
      <c r="Q18"/>
      <c r="R18"/>
      <c r="S18"/>
      <c r="T18"/>
      <c r="U18"/>
    </row>
    <row r="19" spans="1:21" ht="9" customHeight="1"/>
    <row r="20" spans="1:21" s="32" customFormat="1" ht="36" customHeight="1">
      <c r="A20" s="224" t="s">
        <v>147</v>
      </c>
      <c r="B20" s="225"/>
      <c r="C20" s="225"/>
      <c r="D20" s="225"/>
      <c r="E20"/>
      <c r="F20"/>
      <c r="G20"/>
    </row>
    <row r="21" spans="1:21" s="32" customFormat="1" ht="42.6" customHeight="1">
      <c r="A21" s="93" t="s">
        <v>83</v>
      </c>
      <c r="B21" s="94" t="s">
        <v>84</v>
      </c>
      <c r="C21" s="94" t="s">
        <v>85</v>
      </c>
      <c r="D21" s="94" t="s">
        <v>86</v>
      </c>
    </row>
    <row r="22" spans="1:21">
      <c r="A22" s="27" t="s">
        <v>91</v>
      </c>
      <c r="B22" s="128">
        <f t="array" ref="B22:B61">MMULT(DF10map!B2:D41,'DF10'!B6:B8)</f>
        <v>2.5</v>
      </c>
      <c r="C22" s="128">
        <f t="array" ref="C22:C61">MMULT(DF10map!B2:D41,'DF10'!D6:D8)</f>
        <v>2.5</v>
      </c>
      <c r="D22" s="129">
        <f>IFERROR(MROUND((100*B22/C22),5)-100,0)</f>
        <v>0</v>
      </c>
    </row>
    <row r="23" spans="1:21">
      <c r="A23" s="27" t="s">
        <v>92</v>
      </c>
      <c r="B23" s="128">
        <v>2.5499999999999998</v>
      </c>
      <c r="C23" s="128">
        <v>2.5750000000000002</v>
      </c>
      <c r="D23" s="129">
        <f t="shared" ref="D23:D61" si="0">IFERROR(MROUND((100*B23/C23),5)-100,0)</f>
        <v>0</v>
      </c>
      <c r="I23" s="1"/>
    </row>
    <row r="24" spans="1:21">
      <c r="A24" s="27" t="s">
        <v>93</v>
      </c>
      <c r="B24" s="128">
        <v>1.05</v>
      </c>
      <c r="C24" s="128">
        <v>1.075</v>
      </c>
      <c r="D24" s="129">
        <f t="shared" si="0"/>
        <v>0</v>
      </c>
    </row>
    <row r="25" spans="1:21">
      <c r="A25" s="27" t="s">
        <v>94</v>
      </c>
      <c r="B25" s="128">
        <v>2</v>
      </c>
      <c r="C25" s="128">
        <v>2</v>
      </c>
      <c r="D25" s="129">
        <f t="shared" si="0"/>
        <v>0</v>
      </c>
    </row>
    <row r="26" spans="1:21">
      <c r="A26" s="27" t="s">
        <v>95</v>
      </c>
      <c r="B26" s="128">
        <v>1.05</v>
      </c>
      <c r="C26" s="128">
        <v>1.075</v>
      </c>
      <c r="D26" s="129">
        <f t="shared" si="0"/>
        <v>0</v>
      </c>
    </row>
    <row r="27" spans="1:21">
      <c r="A27" s="28" t="s">
        <v>96</v>
      </c>
      <c r="B27" s="128">
        <v>1.5500000000000003</v>
      </c>
      <c r="C27" s="128">
        <v>1.5749999999999997</v>
      </c>
      <c r="D27" s="129">
        <f t="shared" si="0"/>
        <v>0</v>
      </c>
    </row>
    <row r="28" spans="1:21">
      <c r="A28" s="28" t="s">
        <v>97</v>
      </c>
      <c r="B28" s="128">
        <v>2.95</v>
      </c>
      <c r="C28" s="128">
        <v>2.9249999999999998</v>
      </c>
      <c r="D28" s="129">
        <f t="shared" si="0"/>
        <v>0</v>
      </c>
    </row>
    <row r="29" spans="1:21">
      <c r="A29" s="28" t="s">
        <v>98</v>
      </c>
      <c r="B29" s="128">
        <v>1.1000000000000001</v>
      </c>
      <c r="C29" s="128">
        <v>1.1499999999999999</v>
      </c>
      <c r="D29" s="129">
        <f t="shared" si="0"/>
        <v>-5</v>
      </c>
    </row>
    <row r="30" spans="1:21">
      <c r="A30" s="28" t="s">
        <v>99</v>
      </c>
      <c r="B30" s="128">
        <v>2.9000000000000004</v>
      </c>
      <c r="C30" s="128">
        <v>2.8499999999999996</v>
      </c>
      <c r="D30" s="129">
        <f t="shared" si="0"/>
        <v>0</v>
      </c>
    </row>
    <row r="31" spans="1:21">
      <c r="A31" s="28" t="s">
        <v>100</v>
      </c>
      <c r="B31" s="128">
        <v>2.5</v>
      </c>
      <c r="C31" s="128">
        <v>2.5</v>
      </c>
      <c r="D31" s="129">
        <f t="shared" si="0"/>
        <v>0</v>
      </c>
    </row>
    <row r="32" spans="1:21">
      <c r="A32" s="28" t="s">
        <v>101</v>
      </c>
      <c r="B32" s="128">
        <v>1.4000000000000004</v>
      </c>
      <c r="C32" s="128">
        <v>1.3499999999999996</v>
      </c>
      <c r="D32" s="129">
        <f t="shared" si="0"/>
        <v>5</v>
      </c>
    </row>
    <row r="33" spans="1:4">
      <c r="A33" s="28" t="s">
        <v>102</v>
      </c>
      <c r="B33" s="128">
        <v>1.1500000000000001</v>
      </c>
      <c r="C33" s="128">
        <v>1.2249999999999999</v>
      </c>
      <c r="D33" s="129">
        <f t="shared" si="0"/>
        <v>-5</v>
      </c>
    </row>
    <row r="34" spans="1:4">
      <c r="A34" s="28" t="s">
        <v>103</v>
      </c>
      <c r="B34" s="128">
        <v>1.6000000000000003</v>
      </c>
      <c r="C34" s="128">
        <v>1.6499999999999997</v>
      </c>
      <c r="D34" s="129">
        <f t="shared" si="0"/>
        <v>-5</v>
      </c>
    </row>
    <row r="35" spans="1:4">
      <c r="A35" s="28" t="s">
        <v>104</v>
      </c>
      <c r="B35" s="128">
        <v>1.4500000000000002</v>
      </c>
      <c r="C35" s="128">
        <v>1.4249999999999998</v>
      </c>
      <c r="D35" s="129">
        <f t="shared" si="0"/>
        <v>0</v>
      </c>
    </row>
    <row r="36" spans="1:4">
      <c r="A36" s="28" t="s">
        <v>105</v>
      </c>
      <c r="B36" s="128">
        <v>1.5500000000000003</v>
      </c>
      <c r="C36" s="128">
        <v>1.5749999999999997</v>
      </c>
      <c r="D36" s="129">
        <f t="shared" si="0"/>
        <v>0</v>
      </c>
    </row>
    <row r="37" spans="1:4">
      <c r="A37" s="28" t="s">
        <v>106</v>
      </c>
      <c r="B37" s="128">
        <v>1.4500000000000002</v>
      </c>
      <c r="C37" s="128">
        <v>1.4249999999999998</v>
      </c>
      <c r="D37" s="129">
        <f t="shared" si="0"/>
        <v>0</v>
      </c>
    </row>
    <row r="38" spans="1:4">
      <c r="A38" s="28" t="s">
        <v>107</v>
      </c>
      <c r="B38" s="128">
        <v>1.5000000000000002</v>
      </c>
      <c r="C38" s="128">
        <v>1.4999999999999998</v>
      </c>
      <c r="D38" s="129">
        <f t="shared" si="0"/>
        <v>0</v>
      </c>
    </row>
    <row r="39" spans="1:4">
      <c r="A39" s="28" t="s">
        <v>108</v>
      </c>
      <c r="B39" s="128">
        <v>1</v>
      </c>
      <c r="C39" s="128">
        <v>1</v>
      </c>
      <c r="D39" s="129">
        <f t="shared" si="0"/>
        <v>0</v>
      </c>
    </row>
    <row r="40" spans="1:4">
      <c r="A40" s="28" t="s">
        <v>109</v>
      </c>
      <c r="B40" s="128">
        <v>1.9500000000000002</v>
      </c>
      <c r="C40" s="128">
        <v>1.9249999999999998</v>
      </c>
      <c r="D40" s="129">
        <f t="shared" si="0"/>
        <v>0</v>
      </c>
    </row>
    <row r="41" spans="1:4">
      <c r="A41" s="27" t="s">
        <v>110</v>
      </c>
      <c r="B41" s="128">
        <v>2.95</v>
      </c>
      <c r="C41" s="128">
        <v>2.9249999999999998</v>
      </c>
      <c r="D41" s="129">
        <f t="shared" si="0"/>
        <v>0</v>
      </c>
    </row>
    <row r="42" spans="1:4">
      <c r="A42" s="27" t="s">
        <v>111</v>
      </c>
      <c r="B42" s="128">
        <v>2.4500000000000002</v>
      </c>
      <c r="C42" s="128">
        <v>2.4249999999999998</v>
      </c>
      <c r="D42" s="129">
        <f t="shared" si="0"/>
        <v>0</v>
      </c>
    </row>
    <row r="43" spans="1:4">
      <c r="A43" s="27" t="s">
        <v>112</v>
      </c>
      <c r="B43" s="128">
        <v>2.5</v>
      </c>
      <c r="C43" s="128">
        <v>2.5</v>
      </c>
      <c r="D43" s="129">
        <f t="shared" si="0"/>
        <v>0</v>
      </c>
    </row>
    <row r="44" spans="1:4">
      <c r="A44" s="27" t="s">
        <v>113</v>
      </c>
      <c r="B44" s="128">
        <v>1.4500000000000002</v>
      </c>
      <c r="C44" s="128">
        <v>1.4249999999999998</v>
      </c>
      <c r="D44" s="129">
        <f t="shared" si="0"/>
        <v>0</v>
      </c>
    </row>
    <row r="45" spans="1:4">
      <c r="A45" s="27" t="s">
        <v>114</v>
      </c>
      <c r="B45" s="128">
        <v>2</v>
      </c>
      <c r="C45" s="128">
        <v>1.9999999999999998</v>
      </c>
      <c r="D45" s="129">
        <f t="shared" si="0"/>
        <v>0</v>
      </c>
    </row>
    <row r="46" spans="1:4">
      <c r="A46" s="27" t="s">
        <v>115</v>
      </c>
      <c r="B46" s="128">
        <v>1.9500000000000002</v>
      </c>
      <c r="C46" s="128">
        <v>1.9249999999999998</v>
      </c>
      <c r="D46" s="129">
        <f t="shared" si="0"/>
        <v>0</v>
      </c>
    </row>
    <row r="47" spans="1:4">
      <c r="A47" s="27" t="s">
        <v>116</v>
      </c>
      <c r="B47" s="128">
        <v>2.4500000000000002</v>
      </c>
      <c r="C47" s="128">
        <v>2.4249999999999998</v>
      </c>
      <c r="D47" s="129">
        <f t="shared" si="0"/>
        <v>0</v>
      </c>
    </row>
    <row r="48" spans="1:4">
      <c r="A48" s="27" t="s">
        <v>117</v>
      </c>
      <c r="B48" s="128">
        <v>1.05</v>
      </c>
      <c r="C48" s="128">
        <v>1.075</v>
      </c>
      <c r="D48" s="129">
        <f t="shared" si="0"/>
        <v>0</v>
      </c>
    </row>
    <row r="49" spans="1:4">
      <c r="A49" s="27" t="s">
        <v>118</v>
      </c>
      <c r="B49" s="128">
        <v>1</v>
      </c>
      <c r="C49" s="128">
        <v>1</v>
      </c>
      <c r="D49" s="129">
        <f t="shared" si="0"/>
        <v>0</v>
      </c>
    </row>
    <row r="50" spans="1:4">
      <c r="A50" s="27" t="s">
        <v>119</v>
      </c>
      <c r="B50" s="128">
        <v>1.05</v>
      </c>
      <c r="C50" s="128">
        <v>1.075</v>
      </c>
      <c r="D50" s="129">
        <f t="shared" si="0"/>
        <v>0</v>
      </c>
    </row>
    <row r="51" spans="1:4">
      <c r="A51" s="27" t="s">
        <v>120</v>
      </c>
      <c r="B51" s="128">
        <v>2.4500000000000002</v>
      </c>
      <c r="C51" s="128">
        <v>2.4249999999999998</v>
      </c>
      <c r="D51" s="129">
        <f t="shared" si="0"/>
        <v>0</v>
      </c>
    </row>
    <row r="52" spans="1:4">
      <c r="A52" s="28" t="s">
        <v>121</v>
      </c>
      <c r="B52" s="128">
        <v>1</v>
      </c>
      <c r="C52" s="128">
        <v>1</v>
      </c>
      <c r="D52" s="129">
        <f t="shared" si="0"/>
        <v>0</v>
      </c>
    </row>
    <row r="53" spans="1:4">
      <c r="A53" s="28" t="s">
        <v>122</v>
      </c>
      <c r="B53" s="128">
        <v>1</v>
      </c>
      <c r="C53" s="128">
        <v>1</v>
      </c>
      <c r="D53" s="129">
        <f t="shared" si="0"/>
        <v>0</v>
      </c>
    </row>
    <row r="54" spans="1:4">
      <c r="A54" s="28" t="s">
        <v>123</v>
      </c>
      <c r="B54" s="128">
        <v>1.05</v>
      </c>
      <c r="C54" s="128">
        <v>1.075</v>
      </c>
      <c r="D54" s="129">
        <f t="shared" si="0"/>
        <v>0</v>
      </c>
    </row>
    <row r="55" spans="1:4">
      <c r="A55" s="28" t="s">
        <v>124</v>
      </c>
      <c r="B55" s="128">
        <v>1.05</v>
      </c>
      <c r="C55" s="128">
        <v>1.075</v>
      </c>
      <c r="D55" s="129">
        <f t="shared" si="0"/>
        <v>0</v>
      </c>
    </row>
    <row r="56" spans="1:4">
      <c r="A56" s="28" t="s">
        <v>125</v>
      </c>
      <c r="B56" s="128">
        <v>1.05</v>
      </c>
      <c r="C56" s="128">
        <v>1.075</v>
      </c>
      <c r="D56" s="129">
        <f t="shared" si="0"/>
        <v>0</v>
      </c>
    </row>
    <row r="57" spans="1:4">
      <c r="A57" s="28" t="s">
        <v>126</v>
      </c>
      <c r="B57" s="128">
        <v>1</v>
      </c>
      <c r="C57" s="128">
        <v>1</v>
      </c>
      <c r="D57" s="129">
        <f t="shared" si="0"/>
        <v>0</v>
      </c>
    </row>
    <row r="58" spans="1:4">
      <c r="A58" s="27" t="s">
        <v>127</v>
      </c>
      <c r="B58" s="128">
        <v>2</v>
      </c>
      <c r="C58" s="128">
        <v>1.9999999999999998</v>
      </c>
      <c r="D58" s="129">
        <f t="shared" si="0"/>
        <v>0</v>
      </c>
    </row>
    <row r="59" spans="1:4">
      <c r="A59" s="27" t="s">
        <v>128</v>
      </c>
      <c r="B59" s="128">
        <v>1</v>
      </c>
      <c r="C59" s="128">
        <v>1</v>
      </c>
      <c r="D59" s="129">
        <f t="shared" si="0"/>
        <v>0</v>
      </c>
    </row>
    <row r="60" spans="1:4">
      <c r="A60" s="27" t="s">
        <v>129</v>
      </c>
      <c r="B60" s="128">
        <v>1</v>
      </c>
      <c r="C60" s="128">
        <v>1</v>
      </c>
      <c r="D60" s="129">
        <f t="shared" si="0"/>
        <v>0</v>
      </c>
    </row>
    <row r="61" spans="1:4">
      <c r="A61" s="27" t="s">
        <v>130</v>
      </c>
      <c r="B61" s="128">
        <v>1</v>
      </c>
      <c r="C61" s="128">
        <v>1</v>
      </c>
      <c r="D61" s="129">
        <f t="shared" si="0"/>
        <v>0</v>
      </c>
    </row>
  </sheetData>
  <sheetProtection algorithmName="SHA-512" hashValue="p7zwzovmb33/OmSSwKDFNi041ErkiSkTQ69KweWRzC20SF96NRLMp2bsESnsJL7Rf5SzQTg7xuITPhIzUcWxug==" saltValue="/sHMnmCWErZVbzwDSNaHsA==" spinCount="100000" sheet="1" objects="1" scenarios="1"/>
  <mergeCells count="12">
    <mergeCell ref="H5:L5"/>
    <mergeCell ref="G1:P1"/>
    <mergeCell ref="G3:P3"/>
    <mergeCell ref="A20:D20"/>
    <mergeCell ref="A18:F18"/>
    <mergeCell ref="G18:P18"/>
    <mergeCell ref="A3:F3"/>
    <mergeCell ref="B5:C5"/>
    <mergeCell ref="B6:C6"/>
    <mergeCell ref="B7:C7"/>
    <mergeCell ref="B8:C8"/>
    <mergeCell ref="A1:F1"/>
  </mergeCells>
  <pageMargins left="0.25" right="0.25" top="0.75" bottom="0.75" header="0.3" footer="0.3"/>
  <pageSetup paperSize="5" scale="88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rowBreaks count="1" manualBreakCount="1">
    <brk id="16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5A88-358F-4973-80AC-1145374458F9}">
  <sheetPr>
    <tabColor theme="8" tint="-0.499984740745262"/>
    <pageSetUpPr fitToPage="1"/>
  </sheetPr>
  <dimension ref="A1:D41"/>
  <sheetViews>
    <sheetView showGridLines="0" zoomScale="85" zoomScaleNormal="85" workbookViewId="0">
      <pane ySplit="1" topLeftCell="A2" activePane="bottomLeft" state="frozen"/>
      <selection pane="bottomLeft" activeCell="A2" sqref="A2"/>
      <selection activeCell="A9" sqref="A9:B9"/>
    </sheetView>
  </sheetViews>
  <sheetFormatPr defaultRowHeight="15.6"/>
  <cols>
    <col min="1" max="1" width="8.7109375" style="26"/>
    <col min="2" max="4" width="13.85546875" style="29" customWidth="1"/>
  </cols>
  <sheetData>
    <row r="1" spans="1:4" ht="21">
      <c r="A1" s="42" t="s">
        <v>367</v>
      </c>
      <c r="B1" s="40" t="s">
        <v>368</v>
      </c>
      <c r="C1" s="40" t="s">
        <v>365</v>
      </c>
      <c r="D1" s="40" t="s">
        <v>369</v>
      </c>
    </row>
    <row r="2" spans="1:4" ht="14.45">
      <c r="A2" s="38" t="s">
        <v>91</v>
      </c>
      <c r="B2" s="48">
        <v>3.5</v>
      </c>
      <c r="C2" s="48">
        <v>2.5</v>
      </c>
      <c r="D2" s="48">
        <v>1.5</v>
      </c>
    </row>
    <row r="3" spans="1:4" ht="14.45">
      <c r="A3" s="38" t="s">
        <v>92</v>
      </c>
      <c r="B3" s="48">
        <v>4</v>
      </c>
      <c r="C3" s="48">
        <v>2.5</v>
      </c>
      <c r="D3" s="48">
        <v>1.5</v>
      </c>
    </row>
    <row r="4" spans="1:4" ht="14.45">
      <c r="A4" s="38" t="s">
        <v>93</v>
      </c>
      <c r="B4" s="48">
        <v>1.5</v>
      </c>
      <c r="C4" s="48">
        <v>1</v>
      </c>
      <c r="D4" s="48">
        <v>1</v>
      </c>
    </row>
    <row r="5" spans="1:4" ht="14.45">
      <c r="A5" s="38" t="s">
        <v>94</v>
      </c>
      <c r="B5" s="48">
        <v>2.5</v>
      </c>
      <c r="C5" s="48">
        <v>2</v>
      </c>
      <c r="D5" s="48">
        <v>1.5</v>
      </c>
    </row>
    <row r="6" spans="1:4" ht="14.45">
      <c r="A6" s="38" t="s">
        <v>95</v>
      </c>
      <c r="B6" s="48">
        <v>1.5</v>
      </c>
      <c r="C6" s="48">
        <v>1</v>
      </c>
      <c r="D6" s="48">
        <v>1</v>
      </c>
    </row>
    <row r="7" spans="1:4" ht="14.45">
      <c r="A7" s="39" t="s">
        <v>96</v>
      </c>
      <c r="B7" s="48">
        <v>2.5</v>
      </c>
      <c r="C7" s="48">
        <v>1.5</v>
      </c>
      <c r="D7" s="48">
        <v>1</v>
      </c>
    </row>
    <row r="8" spans="1:4" ht="14.45">
      <c r="A8" s="39" t="s">
        <v>97</v>
      </c>
      <c r="B8" s="48">
        <v>4</v>
      </c>
      <c r="C8" s="48">
        <v>3</v>
      </c>
      <c r="D8" s="48">
        <v>1.5</v>
      </c>
    </row>
    <row r="9" spans="1:4" ht="14.45">
      <c r="A9" s="39" t="s">
        <v>98</v>
      </c>
      <c r="B9" s="48">
        <v>2</v>
      </c>
      <c r="C9" s="48">
        <v>1</v>
      </c>
      <c r="D9" s="48">
        <v>1</v>
      </c>
    </row>
    <row r="10" spans="1:4" ht="14.45">
      <c r="A10" s="39" t="s">
        <v>99</v>
      </c>
      <c r="B10" s="48">
        <v>4</v>
      </c>
      <c r="C10" s="48">
        <v>3</v>
      </c>
      <c r="D10" s="48">
        <v>1</v>
      </c>
    </row>
    <row r="11" spans="1:4" ht="14.45">
      <c r="A11" s="39" t="s">
        <v>100</v>
      </c>
      <c r="B11" s="48">
        <v>4</v>
      </c>
      <c r="C11" s="48">
        <v>2.5</v>
      </c>
      <c r="D11" s="48">
        <v>1</v>
      </c>
    </row>
    <row r="12" spans="1:4" ht="14.45">
      <c r="A12" s="39" t="s">
        <v>101</v>
      </c>
      <c r="B12" s="48">
        <v>1</v>
      </c>
      <c r="C12" s="48">
        <v>1.5</v>
      </c>
      <c r="D12" s="48">
        <v>1</v>
      </c>
    </row>
    <row r="13" spans="1:4" ht="14.45">
      <c r="A13" s="39" t="s">
        <v>102</v>
      </c>
      <c r="B13" s="48">
        <v>2.5</v>
      </c>
      <c r="C13" s="48">
        <v>1</v>
      </c>
      <c r="D13" s="48">
        <v>1</v>
      </c>
    </row>
    <row r="14" spans="1:4" ht="14.45">
      <c r="A14" s="39" t="s">
        <v>103</v>
      </c>
      <c r="B14" s="48">
        <v>3</v>
      </c>
      <c r="C14" s="48">
        <v>1.5</v>
      </c>
      <c r="D14" s="48">
        <v>1</v>
      </c>
    </row>
    <row r="15" spans="1:4" ht="14.45">
      <c r="A15" s="39" t="s">
        <v>104</v>
      </c>
      <c r="B15" s="48">
        <v>1.5</v>
      </c>
      <c r="C15" s="48">
        <v>1.5</v>
      </c>
      <c r="D15" s="48">
        <v>1</v>
      </c>
    </row>
    <row r="16" spans="1:4" ht="14.45">
      <c r="A16" s="39" t="s">
        <v>105</v>
      </c>
      <c r="B16" s="48">
        <v>2.5</v>
      </c>
      <c r="C16" s="48">
        <v>1.5</v>
      </c>
      <c r="D16" s="48">
        <v>1</v>
      </c>
    </row>
    <row r="17" spans="1:4" ht="14.45">
      <c r="A17" s="39" t="s">
        <v>106</v>
      </c>
      <c r="B17" s="48">
        <v>1.5</v>
      </c>
      <c r="C17" s="48">
        <v>1.5</v>
      </c>
      <c r="D17" s="48">
        <v>1</v>
      </c>
    </row>
    <row r="18" spans="1:4" ht="14.45">
      <c r="A18" s="39" t="s">
        <v>107</v>
      </c>
      <c r="B18" s="48">
        <v>2</v>
      </c>
      <c r="C18" s="48">
        <v>1.5</v>
      </c>
      <c r="D18" s="48">
        <v>1</v>
      </c>
    </row>
    <row r="19" spans="1:4" ht="14.45">
      <c r="A19" s="39" t="s">
        <v>108</v>
      </c>
      <c r="B19" s="48">
        <v>1</v>
      </c>
      <c r="C19" s="48">
        <v>1</v>
      </c>
      <c r="D19" s="48">
        <v>1</v>
      </c>
    </row>
    <row r="20" spans="1:4" ht="14.45">
      <c r="A20" s="39" t="s">
        <v>109</v>
      </c>
      <c r="B20" s="48">
        <v>2.5</v>
      </c>
      <c r="C20" s="48">
        <v>2</v>
      </c>
      <c r="D20" s="48">
        <v>1</v>
      </c>
    </row>
    <row r="21" spans="1:4" ht="14.45">
      <c r="A21" s="38" t="s">
        <v>110</v>
      </c>
      <c r="B21" s="48">
        <v>4</v>
      </c>
      <c r="C21" s="48">
        <v>3</v>
      </c>
      <c r="D21" s="48">
        <v>1.5</v>
      </c>
    </row>
    <row r="22" spans="1:4" ht="14.45">
      <c r="A22" s="38" t="s">
        <v>111</v>
      </c>
      <c r="B22" s="48">
        <v>3.5</v>
      </c>
      <c r="C22" s="48">
        <v>2.5</v>
      </c>
      <c r="D22" s="48">
        <v>1</v>
      </c>
    </row>
    <row r="23" spans="1:4" ht="14.45">
      <c r="A23" s="38" t="s">
        <v>112</v>
      </c>
      <c r="B23" s="48">
        <v>4</v>
      </c>
      <c r="C23" s="48">
        <v>2.5</v>
      </c>
      <c r="D23" s="48">
        <v>1</v>
      </c>
    </row>
    <row r="24" spans="1:4" ht="14.45">
      <c r="A24" s="38" t="s">
        <v>113</v>
      </c>
      <c r="B24" s="48">
        <v>1.5</v>
      </c>
      <c r="C24" s="48">
        <v>1.5</v>
      </c>
      <c r="D24" s="48">
        <v>1</v>
      </c>
    </row>
    <row r="25" spans="1:4" ht="14.45">
      <c r="A25" s="38" t="s">
        <v>114</v>
      </c>
      <c r="B25" s="48">
        <v>3</v>
      </c>
      <c r="C25" s="48">
        <v>2</v>
      </c>
      <c r="D25" s="48">
        <v>1</v>
      </c>
    </row>
    <row r="26" spans="1:4" ht="14.45">
      <c r="A26" s="38" t="s">
        <v>115</v>
      </c>
      <c r="B26" s="48">
        <v>2.5</v>
      </c>
      <c r="C26" s="48">
        <v>2</v>
      </c>
      <c r="D26" s="48">
        <v>1</v>
      </c>
    </row>
    <row r="27" spans="1:4" ht="14.45">
      <c r="A27" s="38" t="s">
        <v>116</v>
      </c>
      <c r="B27" s="48">
        <v>3.5</v>
      </c>
      <c r="C27" s="48">
        <v>2.5</v>
      </c>
      <c r="D27" s="48">
        <v>1</v>
      </c>
    </row>
    <row r="28" spans="1:4" ht="14.45">
      <c r="A28" s="38" t="s">
        <v>117</v>
      </c>
      <c r="B28" s="48">
        <v>1.5</v>
      </c>
      <c r="C28" s="48">
        <v>1</v>
      </c>
      <c r="D28" s="48">
        <v>1</v>
      </c>
    </row>
    <row r="29" spans="1:4" ht="14.45">
      <c r="A29" s="38" t="s">
        <v>118</v>
      </c>
      <c r="B29" s="48">
        <v>1</v>
      </c>
      <c r="C29" s="48">
        <v>1</v>
      </c>
      <c r="D29" s="48">
        <v>1</v>
      </c>
    </row>
    <row r="30" spans="1:4" ht="14.45">
      <c r="A30" s="38" t="s">
        <v>119</v>
      </c>
      <c r="B30" s="48">
        <v>1.5</v>
      </c>
      <c r="C30" s="48">
        <v>1</v>
      </c>
      <c r="D30" s="48">
        <v>1</v>
      </c>
    </row>
    <row r="31" spans="1:4" ht="14.45">
      <c r="A31" s="38" t="s">
        <v>120</v>
      </c>
      <c r="B31" s="48">
        <v>3.5</v>
      </c>
      <c r="C31" s="48">
        <v>2.5</v>
      </c>
      <c r="D31" s="48">
        <v>1</v>
      </c>
    </row>
    <row r="32" spans="1:4" ht="14.45">
      <c r="A32" s="39" t="s">
        <v>121</v>
      </c>
      <c r="B32" s="48">
        <v>1</v>
      </c>
      <c r="C32" s="48">
        <v>1</v>
      </c>
      <c r="D32" s="48">
        <v>1</v>
      </c>
    </row>
    <row r="33" spans="1:4" ht="14.45">
      <c r="A33" s="39" t="s">
        <v>122</v>
      </c>
      <c r="B33" s="48">
        <v>1</v>
      </c>
      <c r="C33" s="48">
        <v>1</v>
      </c>
      <c r="D33" s="48">
        <v>1</v>
      </c>
    </row>
    <row r="34" spans="1:4" ht="14.45">
      <c r="A34" s="39" t="s">
        <v>123</v>
      </c>
      <c r="B34" s="48">
        <v>1.5</v>
      </c>
      <c r="C34" s="48">
        <v>1</v>
      </c>
      <c r="D34" s="48">
        <v>1</v>
      </c>
    </row>
    <row r="35" spans="1:4" ht="14.45">
      <c r="A35" s="39" t="s">
        <v>124</v>
      </c>
      <c r="B35" s="48">
        <v>1.5</v>
      </c>
      <c r="C35" s="48">
        <v>1</v>
      </c>
      <c r="D35" s="48">
        <v>1</v>
      </c>
    </row>
    <row r="36" spans="1:4" ht="14.45">
      <c r="A36" s="39" t="s">
        <v>125</v>
      </c>
      <c r="B36" s="48">
        <v>1.5</v>
      </c>
      <c r="C36" s="48">
        <v>1</v>
      </c>
      <c r="D36" s="48">
        <v>1</v>
      </c>
    </row>
    <row r="37" spans="1:4" ht="14.45">
      <c r="A37" s="39" t="s">
        <v>126</v>
      </c>
      <c r="B37" s="48">
        <v>1</v>
      </c>
      <c r="C37" s="48">
        <v>1</v>
      </c>
      <c r="D37" s="48">
        <v>1</v>
      </c>
    </row>
    <row r="38" spans="1:4" ht="14.45">
      <c r="A38" s="38" t="s">
        <v>127</v>
      </c>
      <c r="B38" s="48">
        <v>3</v>
      </c>
      <c r="C38" s="48">
        <v>2</v>
      </c>
      <c r="D38" s="48">
        <v>1</v>
      </c>
    </row>
    <row r="39" spans="1:4" ht="14.45">
      <c r="A39" s="38" t="s">
        <v>128</v>
      </c>
      <c r="B39" s="48">
        <v>1</v>
      </c>
      <c r="C39" s="48">
        <v>1</v>
      </c>
      <c r="D39" s="48">
        <v>1</v>
      </c>
    </row>
    <row r="40" spans="1:4" ht="14.45">
      <c r="A40" s="38" t="s">
        <v>129</v>
      </c>
      <c r="B40" s="48">
        <v>1</v>
      </c>
      <c r="C40" s="48">
        <v>1</v>
      </c>
      <c r="D40" s="48">
        <v>1</v>
      </c>
    </row>
    <row r="41" spans="1:4" ht="14.45">
      <c r="A41" s="38" t="s">
        <v>130</v>
      </c>
      <c r="B41" s="48">
        <v>1</v>
      </c>
      <c r="C41" s="48">
        <v>1</v>
      </c>
      <c r="D41" s="48">
        <v>1</v>
      </c>
    </row>
  </sheetData>
  <sheetProtection algorithmName="SHA-512" hashValue="/QAGlsaka3H3N5IwPtU5+z2G2Sywl4ODmrTq2H7pEaRPvM4r9YXQkg3HSjz0tI3zT7fkkgBkc4A/9Jb+6YXFHQ==" saltValue="kEIK9C55iJW8znXNQ0XAYA==" spinCount="100000" sheet="1" objects="1" scenarios="1" selectLockedCells="1" selectUnlockedCells="1"/>
  <conditionalFormatting sqref="B2:D41">
    <cfRule type="cellIs" dxfId="2" priority="1" stopIfTrue="1" operator="greaterThanOrEqual">
      <formula>3</formula>
    </cfRule>
    <cfRule type="cellIs" dxfId="1" priority="2" stopIfTrue="1" operator="greaterThanOrEqual">
      <formula>2</formula>
    </cfRule>
    <cfRule type="cellIs" dxfId="0" priority="3" operator="greaterThanOrEqual">
      <formula>1</formula>
    </cfRule>
  </conditionalFormatting>
  <pageMargins left="0.25" right="0.25" top="0.75" bottom="0.75" header="0.3" footer="0.3"/>
  <pageSetup paperSize="5" fitToHeight="100" orientation="landscape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4EFD-2006-4411-9805-5B962FE73FAC}">
  <sheetPr>
    <tabColor theme="4" tint="0.39997558519241921"/>
    <pageSetUpPr fitToPage="1"/>
  </sheetPr>
  <dimension ref="A1"/>
  <sheetViews>
    <sheetView showGridLines="0" topLeftCell="A52" zoomScale="70" zoomScaleNormal="70" workbookViewId="0"/>
  </sheetViews>
  <sheetFormatPr defaultRowHeight="14.45"/>
  <sheetData/>
  <pageMargins left="0.25" right="0.25" top="0.75" bottom="0.75" header="0.3" footer="0.3"/>
  <pageSetup paperSize="5" scale="48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C596-4A51-4836-8500-75A8FA9C105A}">
  <sheetPr>
    <tabColor theme="4" tint="0.39997558519241921"/>
    <pageSetUpPr fitToPage="1"/>
  </sheetPr>
  <dimension ref="A1"/>
  <sheetViews>
    <sheetView showGridLines="0" topLeftCell="R103" zoomScale="70" zoomScaleNormal="70" workbookViewId="0"/>
  </sheetViews>
  <sheetFormatPr defaultRowHeight="14.45"/>
  <sheetData/>
  <pageMargins left="0.25" right="0.25" top="0.75" bottom="0.75" header="0.3" footer="0.3"/>
  <pageSetup paperSize="5" scale="44" fitToHeight="100" orientation="landscape" verticalDpi="4294967293" r:id="rId1"/>
  <headerFooter>
    <oddHeader xml:space="preserve">&amp;L&amp;10COBIT® 2019 Governance System Design Toolkit&amp;R&amp;10&amp;D&amp;11
</oddHeader>
    <oddFooter>&amp;L&amp;10© 2018 ISACA. All rights reserved.&amp;C&amp;10&amp;F&amp;R&amp;10&amp;A—Page &amp;P</oddFooter>
  </headerFooter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ISACA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COBIT® 2019 Governance System Design Toolkit V1.0</dc:title>
  <dc:subject/>
  <dc:creator>Dirk Steuperaert</dc:creator>
  <cp:keywords/>
  <dc:description>Toolkit companion to:_x000d_
COBIT® 2019 Design Guide: Designing an Information and Technology Governance Solution</dc:description>
  <cp:lastModifiedBy>Teuku Raja Irfan Radarma</cp:lastModifiedBy>
  <cp:revision/>
  <dcterms:created xsi:type="dcterms:W3CDTF">2018-05-27T07:45:25Z</dcterms:created>
  <dcterms:modified xsi:type="dcterms:W3CDTF">2024-11-14T10:36:16Z</dcterms:modified>
  <cp:category>COBIT® 2019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a2708baf-874c-47f8-90f6-2d3277206cc6</vt:lpwstr>
  </property>
</Properties>
</file>